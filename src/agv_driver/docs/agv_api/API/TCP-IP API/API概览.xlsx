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链接</t>
        </is>
      </c>
      <c r="B1" s="1" t="inlineStr">
        <is>
          <t>编号</t>
        </is>
      </c>
      <c r="C1" s="1" t="inlineStr">
        <is>
          <t>名称</t>
        </is>
      </c>
      <c r="D1" s="1" t="inlineStr">
        <is>
          <t>描述</t>
        </is>
      </c>
      <c r="E1" s="1" t="inlineStr">
        <is>
          <t>标签</t>
        </is>
      </c>
      <c r="F1" s="1" t="inlineStr">
        <is>
          <t>父记录</t>
        </is>
      </c>
    </row>
    <row r="2" ht="25.5" customHeight="1">
      <c r="A2" s="2" t="str">
        <f>=HYPERLINK("https://seer-group.feishu.cn/wiki/ZQ8gwqnvKiNklUkiqtCci7gonLd", "机器人状态API（端口：19204）")</f>
        <v>机器人状态API（端口：19204）</v>
      </c>
      <c r="B2"/>
      <c r="C2"/>
      <c r="D2"/>
      <c r="E2"/>
      <c r="F2"/>
    </row>
    <row r="3" ht="25.5" customHeight="1">
      <c r="A3" s="2" t="str">
        <f>=HYPERLINK("https://seer-group.feishu.cn/wiki/BGgRw0wj1izaV1kiwHGc8aqZnug", "查询机器人看到的库位信息")</f>
        <v>查询机器人看到的库位信息</v>
      </c>
      <c r="B3">
        <v>1803</v>
      </c>
      <c r="C3" t="inlineStr">
        <is>
          <t>robot_status_bins_req</t>
        </is>
      </c>
      <c r="D3" t="inlineStr">
        <is>
          <t>查询机器人能看到的库位状态信息</t>
        </is>
      </c>
      <c r="E3"/>
      <c r="F3" t="inlineStr">
        <is>
          <t>机器人状态API（端口：19204）</t>
        </is>
      </c>
    </row>
    <row r="4" ht="25.5" customHeight="1">
      <c r="A4" s="2" t="str">
        <f>=HYPERLINK("https://seer-group.feishu.cn/wiki/QpJfwV7icigdn7kGCP2c7e2Fnib", "查询机器人信息")</f>
        <v>查询机器人信息</v>
      </c>
      <c r="B4">
        <v>1000</v>
      </c>
      <c r="C4" t="inlineStr">
        <is>
          <t>robot_status_info_req</t>
        </is>
      </c>
      <c r="D4" t="inlineStr">
        <is>
          <t>查询机器人信息</t>
        </is>
      </c>
      <c r="E4"/>
      <c r="F4" t="inlineStr">
        <is>
          <t>机器人状态API（端口：19204）</t>
        </is>
      </c>
    </row>
    <row r="5" ht="25.5" customHeight="1">
      <c r="A5" s="2" t="str">
        <f>=HYPERLINK("https://seer-group.feishu.cn/wiki/Dx10wbhTfiejmEkW07Jca9dWnXf", "查询机器人运行信息")</f>
        <v>查询机器人运行信息</v>
      </c>
      <c r="B5">
        <v>1002</v>
      </c>
      <c r="C5" t="inlineStr">
        <is>
          <t>robot_status_run_req</t>
        </is>
      </c>
      <c r="D5" t="inlineStr">
        <is>
          <t>查询机器人的运行状态信息(如运行时间、里程等)</t>
        </is>
      </c>
      <c r="E5"/>
      <c r="F5" t="inlineStr">
        <is>
          <t>机器人状态API（端口：19204）</t>
        </is>
      </c>
    </row>
    <row r="6" ht="25.5" customHeight="1">
      <c r="A6" s="2" t="str">
        <f>=HYPERLINK("https://seer-group.feishu.cn/wiki/Gs2uw89XRi8xOyk2diDcTN1snQc", "查询机器人位置")</f>
        <v>查询机器人位置</v>
      </c>
      <c r="B6">
        <v>1004</v>
      </c>
      <c r="C6" t="inlineStr">
        <is>
          <t>robot_status_loc_req</t>
        </is>
      </c>
      <c r="D6" t="inlineStr">
        <is>
          <t>查询机器人位置</t>
        </is>
      </c>
      <c r="E6"/>
      <c r="F6" t="inlineStr">
        <is>
          <t>机器人状态API（端口：19204）</t>
        </is>
      </c>
    </row>
    <row r="7" ht="25.5" customHeight="1">
      <c r="A7" s="2" t="str">
        <f>=HYPERLINK("https://seer-group.feishu.cn/wiki/UQS5wydHPiUzYgknBwVccUzxnMg", "查询机器人速度")</f>
        <v>查询机器人速度</v>
      </c>
      <c r="B7">
        <v>1005</v>
      </c>
      <c r="C7" t="inlineStr">
        <is>
          <t>robot_status_speed_req</t>
        </is>
      </c>
      <c r="D7" t="inlineStr">
        <is>
          <t>查询机器人速度</t>
        </is>
      </c>
      <c r="E7"/>
      <c r="F7" t="inlineStr">
        <is>
          <t>机器人状态API（端口：19204）</t>
        </is>
      </c>
    </row>
    <row r="8" ht="25.5" customHeight="1">
      <c r="A8" s="2" t="str">
        <f>=HYPERLINK("https://seer-group.feishu.cn/wiki/EtuQwZ1WbiS8TYkmiXLcJWvenrb", "查询机器人的被阻挡状态")</f>
        <v>查询机器人的被阻挡状态</v>
      </c>
      <c r="B8">
        <v>1006</v>
      </c>
      <c r="C8" t="inlineStr">
        <is>
          <t>robot_status_block_req</t>
        </is>
      </c>
      <c r="D8" t="inlineStr">
        <is>
          <t>查询机器人的被阻挡状态</t>
        </is>
      </c>
      <c r="E8"/>
      <c r="F8" t="inlineStr">
        <is>
          <t>机器人状态API（端口：19204）</t>
        </is>
      </c>
    </row>
    <row r="9" ht="25.5" customHeight="1">
      <c r="A9" s="2" t="str">
        <f>=HYPERLINK("https://seer-group.feishu.cn/wiki/BlZnw6ScEiZoB9kJOdycvluYnac", "查询编码器脉冲值")</f>
        <v>查询编码器脉冲值</v>
      </c>
      <c r="B9">
        <v>1018</v>
      </c>
      <c r="C9" t="inlineStr">
        <is>
          <t>robot_status_encoder_req</t>
        </is>
      </c>
      <c r="D9" t="inlineStr">
        <is>
          <t>查询编码器脉冲值</t>
        </is>
      </c>
      <c r="E9"/>
      <c r="F9" t="inlineStr">
        <is>
          <t>机器人状态API（端口：19204）</t>
        </is>
      </c>
    </row>
    <row r="10" ht="25.5" customHeight="1">
      <c r="A10" s="2" t="str">
        <f>=HYPERLINK("https://seer-group.feishu.cn/wiki/TZ2nwwUmiiXPivkTQErcPTnVn4f", "查询机器人电池状态")</f>
        <v>查询机器人电池状态</v>
      </c>
      <c r="B10">
        <v>1007</v>
      </c>
      <c r="C10" t="inlineStr">
        <is>
          <t>robot_status_battery_req</t>
        </is>
      </c>
      <c r="D10" t="inlineStr">
        <is>
          <t>查询机器人电池状态</t>
        </is>
      </c>
      <c r="E10"/>
      <c r="F10" t="inlineStr">
        <is>
          <t>机器人状态API（端口：19204）</t>
        </is>
      </c>
    </row>
    <row r="11" ht="25.5" customHeight="1">
      <c r="A11" s="2" t="str">
        <f>=HYPERLINK("https://seer-group.feishu.cn/wiki/IfSXwX9kuiTeFqkfKDpcSOR6nWf", "查询modbus数据")</f>
        <v>查询modbus数据</v>
      </c>
      <c r="B11">
        <v>1071</v>
      </c>
      <c r="C11" t="inlineStr">
        <is>
          <t>robot_status_modbus_req</t>
        </is>
      </c>
      <c r="D11" t="inlineStr">
        <is>
          <t>查询modbus数据</t>
        </is>
      </c>
      <c r="E11"/>
      <c r="F11" t="inlineStr">
        <is>
          <t>机器人状态API（端口：19204）</t>
        </is>
      </c>
    </row>
    <row r="12" ht="25.5" customHeight="1">
      <c r="A12" s="2" t="str">
        <f>=HYPERLINK("https://seer-group.feishu.cn/wiki/AtOrwzQOwiEokFkmlUAcCXTnnXS", "查询电机状态信息")</f>
        <v>查询电机状态信息</v>
      </c>
      <c r="B12">
        <v>1040</v>
      </c>
      <c r="C12" t="inlineStr">
        <is>
          <t>robot_status_motor_req</t>
        </is>
      </c>
      <c r="D12" t="inlineStr">
        <is>
          <t>查询电机状态信息</t>
        </is>
      </c>
      <c r="E12"/>
      <c r="F12" t="inlineStr">
        <is>
          <t>机器人状态API（端口：19204）</t>
        </is>
      </c>
    </row>
    <row r="13" ht="25.5" customHeight="1">
      <c r="A13" s="2" t="str">
        <f>=HYPERLINK("https://seer-group.feishu.cn/wiki/F5UZw9yorisYgsk92sdcccdQnUd", "查询机器人激光点云数据")</f>
        <v>查询机器人激光点云数据</v>
      </c>
      <c r="B13">
        <v>1009</v>
      </c>
      <c r="C13" t="inlineStr">
        <is>
          <t>robot_status_laser_req</t>
        </is>
      </c>
      <c r="D13" t="inlineStr">
        <is>
          <t>查询机器人激光点云数据</t>
        </is>
      </c>
      <c r="E13"/>
      <c r="F13" t="inlineStr">
        <is>
          <t>机器人状态API（端口：19204）</t>
        </is>
      </c>
    </row>
    <row r="14" ht="25.5" customHeight="1">
      <c r="A14" s="2" t="str">
        <f>=HYPERLINK("https://seer-group.feishu.cn/wiki/Q7n5wr2iyiUOEtkgQXtcbCJCnOL", "查询机器人扫图状态")</f>
        <v>查询机器人扫图状态</v>
      </c>
      <c r="B14">
        <v>1025</v>
      </c>
      <c r="C14" t="inlineStr">
        <is>
          <t>robot_status_slam_req</t>
        </is>
      </c>
      <c r="D14" t="inlineStr">
        <is>
          <t>查询机器人当前的扫图状态</t>
        </is>
      </c>
      <c r="E14" t="inlineStr">
        <is>
          <t>地图</t>
        </is>
      </c>
      <c r="F14" t="inlineStr">
        <is>
          <t>机器人状态API（端口：19204）</t>
        </is>
      </c>
    </row>
    <row r="15" ht="25.5" customHeight="1">
      <c r="A15" s="2" t="str">
        <f>=HYPERLINK("https://seer-group.feishu.cn/wiki/AXabwj5x8istG4keWDycsjcGnug", "查询机器人当前所在区域")</f>
        <v>查询机器人当前所在区域</v>
      </c>
      <c r="B15">
        <v>1011</v>
      </c>
      <c r="C15" t="inlineStr">
        <is>
          <t>robot_status_area_req</t>
        </is>
      </c>
      <c r="D15" t="inlineStr">
        <is>
          <t>查询机器人当前所在的区域信息</t>
        </is>
      </c>
      <c r="E15"/>
      <c r="F15" t="inlineStr">
        <is>
          <t>机器人状态API（端口：19204）</t>
        </is>
      </c>
    </row>
    <row r="16" ht="25.5" customHeight="1">
      <c r="A16" s="2" t="str">
        <f>=HYPERLINK("https://seer-group.feishu.cn/wiki/Bt01wPwTMibFdckfDCNcRnULn6c", "查询机器人急停状态")</f>
        <v>查询机器人急停状态</v>
      </c>
      <c r="B16">
        <v>1012</v>
      </c>
      <c r="C16" t="inlineStr">
        <is>
          <t>robot_status_emergency_req</t>
        </is>
      </c>
      <c r="D16" t="inlineStr">
        <is>
          <t>查询机器人急停按钮的状态</t>
        </is>
      </c>
      <c r="E16"/>
      <c r="F16" t="inlineStr">
        <is>
          <t>机器人状态API（端口：19204）</t>
        </is>
      </c>
    </row>
    <row r="17" ht="25.5" customHeight="1">
      <c r="A17" s="2" t="str">
        <f>=HYPERLINK("https://seer-group.feishu.cn/wiki/Fzn5whQN1ioc4iku2CGcN7F4nkh", "查询机器人 I/O 数据")</f>
        <v>查询机器人 I/O 数据</v>
      </c>
      <c r="B17">
        <v>1013</v>
      </c>
      <c r="C17" t="inlineStr">
        <is>
          <t>robot_status_io_req</t>
        </is>
      </c>
      <c r="D17" t="inlineStr">
        <is>
          <t>查询机器人 I/O 数据</t>
        </is>
      </c>
      <c r="E17"/>
      <c r="F17" t="inlineStr">
        <is>
          <t>机器人状态API（端口：19204）</t>
        </is>
      </c>
    </row>
    <row r="18" ht="25.5" customHeight="1">
      <c r="A18" s="2" t="str">
        <f>=HYPERLINK("https://seer-group.feishu.cn/wiki/LnOHwNgI1iBQxtkI9tMcLXVSn8f", "查询机器人 IMU 数据")</f>
        <v>查询机器人 IMU 数据</v>
      </c>
      <c r="B18">
        <v>1014</v>
      </c>
      <c r="C18" t="inlineStr">
        <is>
          <t>robot_status_imu_req</t>
        </is>
      </c>
      <c r="D18" t="inlineStr">
        <is>
          <t>查询机器人 IMU 数据</t>
        </is>
      </c>
      <c r="E18"/>
      <c r="F18" t="inlineStr">
        <is>
          <t>机器人状态API（端口：19204）</t>
        </is>
      </c>
    </row>
    <row r="19" ht="25.5" customHeight="1">
      <c r="A19" s="2" t="str">
        <f>=HYPERLINK("https://seer-group.feishu.cn/wiki/UWVfwSkxKi4RnukyHIgcDe4Pn2c", "查询 RFID 数据")</f>
        <v>查询 RFID 数据</v>
      </c>
      <c r="B19">
        <v>1015</v>
      </c>
      <c r="C19" t="inlineStr">
        <is>
          <t>robot_status_rfid_req</t>
        </is>
      </c>
      <c r="D19" t="inlineStr">
        <is>
          <t>查询 RFID 数据</t>
        </is>
      </c>
      <c r="E19"/>
      <c r="F19" t="inlineStr">
        <is>
          <t>机器人状态API（端口：19204）</t>
        </is>
      </c>
    </row>
    <row r="20" ht="25.5" customHeight="1">
      <c r="A20" s="2" t="str">
        <f>=HYPERLINK("https://seer-group.feishu.cn/wiki/DAniwGNR0ih7v7kHAvvcb5o0n4c", "查询机器人的超声传感器数据")</f>
        <v>查询机器人的超声传感器数据</v>
      </c>
      <c r="B20">
        <v>1016</v>
      </c>
      <c r="C20" t="inlineStr">
        <is>
          <t>robot_status_ultrasonic_req</t>
        </is>
      </c>
      <c r="D20" t="inlineStr">
        <is>
          <t>查询机器人的超声传感器数据</t>
        </is>
      </c>
      <c r="E20"/>
      <c r="F20" t="inlineStr">
        <is>
          <t>机器人状态API（端口：19204）</t>
        </is>
      </c>
    </row>
    <row r="21" ht="25.5" customHeight="1">
      <c r="A21" s="2" t="str">
        <f>=HYPERLINK("https://seer-group.feishu.cn/wiki/UpKKwQdftixZWWknyI6chzSJnkg", "查询二维码数据(PGV)")</f>
        <v>查询二维码数据(PGV)</v>
      </c>
      <c r="B21">
        <v>1017</v>
      </c>
      <c r="C21" t="inlineStr">
        <is>
          <t>robot_status_pgv_req</t>
        </is>
      </c>
      <c r="D21" t="inlineStr">
        <is>
          <t>查询二维码数据(PGV)数据</t>
        </is>
      </c>
      <c r="E21"/>
      <c r="F21" t="inlineStr">
        <is>
          <t>机器人状态API（端口：19204）</t>
        </is>
      </c>
    </row>
    <row r="22" ht="25.5" customHeight="1">
      <c r="A22" s="2" t="str">
        <f>=HYPERLINK("https://seer-group.feishu.cn/wiki/PS4FwRud0iESAakUaVBcE2BXnvP", "查询机器人导航状态")</f>
        <v>查询机器人导航状态</v>
      </c>
      <c r="B22">
        <v>1020</v>
      </c>
      <c r="C22" t="inlineStr">
        <is>
          <t>robot_status_task_req</t>
        </is>
      </c>
      <c r="D22" t="inlineStr">
        <is>
          <t>查询机器人当前的导航状态, 导航站点, 导航相关路径(已经经过的站点, 尚未经过的站点)等</t>
        </is>
      </c>
      <c r="E22"/>
      <c r="F22" t="inlineStr">
        <is>
          <t>机器人状态API（端口：19204）</t>
        </is>
      </c>
    </row>
    <row r="23" ht="25.5" customHeight="1">
      <c r="A23" s="2" t="str">
        <f>=HYPERLINK("https://seer-group.feishu.cn/wiki/CA7wwW0BoiBwAykd5nRc75lcnRf", "查询机器人任务状态")</f>
        <v>查询机器人任务状态</v>
      </c>
      <c r="B23">
        <v>1110</v>
      </c>
      <c r="C23" t="inlineStr">
        <is>
          <t>robot_status_task_status_package_req</t>
        </is>
      </c>
      <c r="D23" t="inlineStr">
        <is>
          <t>查询机器人任务状态</t>
        </is>
      </c>
      <c r="E23"/>
      <c r="F23" t="inlineStr">
        <is>
          <t>机器人状态API（端口：19204）</t>
        </is>
      </c>
    </row>
    <row r="24" ht="25.5" customHeight="1">
      <c r="A24" s="2" t="str">
        <f>=HYPERLINK("https://seer-group.feishu.cn/wiki/I3T1wqycuias4Rk5oS9cG1IQnqc", "查询机器人定位状态")</f>
        <v>查询机器人定位状态</v>
      </c>
      <c r="B24">
        <v>1021</v>
      </c>
      <c r="C24" t="inlineStr">
        <is>
          <t>robot_status_reloc_req</t>
        </is>
      </c>
      <c r="D24" t="inlineStr">
        <is>
          <t>查询机器人当前的定位状态</t>
        </is>
      </c>
      <c r="E24"/>
      <c r="F24" t="inlineStr">
        <is>
          <t>机器人状态API（端口：19204）</t>
        </is>
      </c>
    </row>
    <row r="25" ht="25.5" customHeight="1">
      <c r="A25" s="2" t="str">
        <f>=HYPERLINK("https://seer-group.feishu.cn/wiki/K4JpwOw0ki4sCqktanAcxTjEn1b", "查询机器人地图载入状态")</f>
        <v>查询机器人地图载入状态</v>
      </c>
      <c r="B25">
        <v>1022</v>
      </c>
      <c r="C25" t="inlineStr">
        <is>
          <t>robot_status_loadmap_req</t>
        </is>
      </c>
      <c r="D25" t="inlineStr">
        <is>
          <t>查询机器人当前地图载入状态</t>
        </is>
      </c>
      <c r="E25" t="inlineStr">
        <is>
          <t>地图</t>
        </is>
      </c>
      <c r="F25" t="inlineStr">
        <is>
          <t>机器人状态API（端口：19204）</t>
        </is>
      </c>
    </row>
    <row r="26" ht="25.5" customHeight="1">
      <c r="A26" s="2" t="str">
        <f>=HYPERLINK("https://seer-group.feishu.cn/wiki/YlE8wUuCbilX7RkVitkcHV3Xn93", "查询顶升机构状态")</f>
        <v>查询顶升机构状态</v>
      </c>
      <c r="B26">
        <v>1027</v>
      </c>
      <c r="C26" t="inlineStr">
        <is>
          <t>robot_status_jack_req</t>
        </is>
      </c>
      <c r="D26" t="inlineStr">
        <is>
          <t>查询顶升机构状态</t>
        </is>
      </c>
      <c r="E26"/>
      <c r="F26" t="inlineStr">
        <is>
          <t>机器人状态API（端口：19204）</t>
        </is>
      </c>
    </row>
    <row r="27" ht="25.5" customHeight="1">
      <c r="A27" s="2" t="str">
        <f>=HYPERLINK("https://seer-group.feishu.cn/wiki/UhpTw7KbMi1Ga7kPE3rclRx7nzd", "查询货叉(叉车)状态")</f>
        <v>查询货叉(叉车)状态</v>
      </c>
      <c r="B27">
        <v>1028</v>
      </c>
      <c r="C27" t="inlineStr">
        <is>
          <t>robot_status_fork_req</t>
        </is>
      </c>
      <c r="D27" t="inlineStr">
        <is>
          <t>查询货叉(叉车)状态</t>
        </is>
      </c>
      <c r="E27"/>
      <c r="F27" t="inlineStr">
        <is>
          <t>机器人状态API（端口：19204）</t>
        </is>
      </c>
    </row>
    <row r="28" ht="25.5" customHeight="1">
      <c r="A28" s="2" t="str">
        <f>=HYPERLINK("https://seer-group.feishu.cn/wiki/TidNwXpOJiTlKzkz5VLcLothnwc", "查询辊筒（皮带）状态")</f>
        <v>查询辊筒（皮带）状态</v>
      </c>
      <c r="B28">
        <v>1029</v>
      </c>
      <c r="C28" t="inlineStr">
        <is>
          <t>robot_status_roller_req</t>
        </is>
      </c>
      <c r="D28" t="inlineStr">
        <is>
          <t>查询辊筒(皮带)状态</t>
        </is>
      </c>
      <c r="E28"/>
      <c r="F28" t="inlineStr">
        <is>
          <t>机器人状态API（端口：19204）</t>
        </is>
      </c>
    </row>
    <row r="29" ht="25.5" customHeight="1">
      <c r="A29" s="2" t="str">
        <f>=HYPERLINK("https://seer-group.feishu.cn/wiki/WrZFwfzDKinuVFkKrsxcbBVhnSg", "查询机器人报警状态")</f>
        <v>查询机器人报警状态</v>
      </c>
      <c r="B29">
        <v>1050</v>
      </c>
      <c r="C29" t="inlineStr">
        <is>
          <t>robot_status_alarm_req</t>
        </is>
      </c>
      <c r="D29" t="inlineStr">
        <is>
          <t>查询机器人当前的报警状态</t>
        </is>
      </c>
      <c r="E29"/>
      <c r="F29" t="inlineStr">
        <is>
          <t>机器人状态API（端口：19204）</t>
        </is>
      </c>
    </row>
    <row r="30" ht="25.5" customHeight="1">
      <c r="A30" s="2" t="str">
        <f>=HYPERLINK("https://seer-group.feishu.cn/wiki/HfOWwzcSQirh0qk9QVocQsRZnye", "查询批量数据1")</f>
        <v>查询批量数据1</v>
      </c>
      <c r="B30">
        <v>1100</v>
      </c>
      <c r="C30" t="inlineStr">
        <is>
          <t>robot_status_all1_req</t>
        </is>
      </c>
      <c r="D30" t="inlineStr">
        <is>
          <t>查询批量数据1</t>
        </is>
      </c>
      <c r="E30"/>
      <c r="F30" t="inlineStr">
        <is>
          <t>机器人状态API（端口：19204）</t>
        </is>
      </c>
    </row>
    <row r="31" ht="25.5" customHeight="1">
      <c r="A31" s="2" t="str">
        <f>=HYPERLINK("https://seer-group.feishu.cn/wiki/QVq4wxmdviUlmZk6QHqcE6zenJb", "查询批量数据2")</f>
        <v>查询批量数据2</v>
      </c>
      <c r="B31">
        <v>1101</v>
      </c>
      <c r="C31" t="inlineStr">
        <is>
          <t>robot_status_all2_req</t>
        </is>
      </c>
      <c r="D31" t="inlineStr">
        <is>
          <t>查询批量数据2</t>
        </is>
      </c>
      <c r="E31"/>
      <c r="F31" t="inlineStr">
        <is>
          <t>机器人状态API（端口：19204）</t>
        </is>
      </c>
    </row>
    <row r="32" ht="25.5" customHeight="1">
      <c r="A32" s="2" t="str">
        <f>=HYPERLINK("https://seer-group.feishu.cn/wiki/U3RXw6WHziMBmjkfQSHcff1mnGe", "查询批量数据3")</f>
        <v>查询批量数据3</v>
      </c>
      <c r="B32">
        <v>1102</v>
      </c>
      <c r="C32" t="inlineStr">
        <is>
          <t>robot_status_all3_req</t>
        </is>
      </c>
      <c r="D32" t="inlineStr">
        <is>
          <t>查询批量数据3</t>
        </is>
      </c>
      <c r="E32"/>
      <c r="F32" t="inlineStr">
        <is>
          <t>机器人状态API（端口：19204）</t>
        </is>
      </c>
    </row>
    <row r="33" ht="25.5" customHeight="1">
      <c r="A33" s="2" t="str">
        <f>=HYPERLINK("https://seer-group.feishu.cn/wiki/AhjNwbgiQit3VckSMfwcu4vynDd", "查询当前控制权所有者")</f>
        <v>查询当前控制权所有者</v>
      </c>
      <c r="B33">
        <v>1060</v>
      </c>
      <c r="C33" t="inlineStr">
        <is>
          <t>robot_status_current_lock_req</t>
        </is>
      </c>
      <c r="D33" t="inlineStr">
        <is>
          <t>查询当前控制权所有者</t>
        </is>
      </c>
      <c r="E33"/>
      <c r="F33" t="inlineStr">
        <is>
          <t>机器人状态API（端口：19204）</t>
        </is>
      </c>
    </row>
    <row r="34" ht="25.5" customHeight="1">
      <c r="A34" s="2" t="str">
        <f>=HYPERLINK("https://seer-group.feishu.cn/wiki/Eu5pwBAnrihjWYkE9kLc6FPln0b", "查询机器人载入的地图以及储存的地图")</f>
        <v>查询机器人载入的地图以及储存的地图</v>
      </c>
      <c r="B34">
        <v>1300</v>
      </c>
      <c r="C34" t="inlineStr">
        <is>
          <t>robot_status_map_req</t>
        </is>
      </c>
      <c r="D34" t="inlineStr">
        <is>
          <t>查询机器人载入的地图以及储存的地图</t>
        </is>
      </c>
      <c r="E34" t="inlineStr">
        <is>
          <t>地图</t>
        </is>
      </c>
      <c r="F34" t="inlineStr">
        <is>
          <t>机器人状态API（端口：19204）</t>
        </is>
      </c>
    </row>
    <row r="35" ht="25.5" customHeight="1">
      <c r="A35" s="2" t="str">
        <f>=HYPERLINK("https://seer-group.feishu.cn/wiki/HlIMwHjqXiDsGOkFFJdcXymWnqg", "查询机器人当前载入地图中的站点信息")</f>
        <v>查询机器人当前载入地图中的站点信息</v>
      </c>
      <c r="B35">
        <v>1301</v>
      </c>
      <c r="C35" t="inlineStr">
        <is>
          <t>robot_status_station_req</t>
        </is>
      </c>
      <c r="D35" t="inlineStr">
        <is>
          <t>查询机器人当前载入地图中的站点信息</t>
        </is>
      </c>
      <c r="E35" t="inlineStr">
        <is>
          <t>地图</t>
        </is>
      </c>
      <c r="F35" t="inlineStr">
        <is>
          <t>机器人状态API（端口：19204）</t>
        </is>
      </c>
    </row>
    <row r="36" ht="25.5" customHeight="1">
      <c r="A36" s="2" t="str">
        <f>=HYPERLINK("https://seer-group.feishu.cn/wiki/ITvMwXIqZipLsIkpwGBcFhUvnce", "查询指定地图列表的MD5值")</f>
        <v>查询指定地图列表的MD5值</v>
      </c>
      <c r="B36">
        <v>1302</v>
      </c>
      <c r="C36" t="inlineStr">
        <is>
          <t>robot_status_mapmd5_req</t>
        </is>
      </c>
      <c r="D36" t="inlineStr">
        <is>
          <t>查询指定地图列表的MD5值</t>
        </is>
      </c>
      <c r="E36" t="inlineStr">
        <is>
          <t>地图</t>
        </is>
      </c>
      <c r="F36" t="inlineStr">
        <is>
          <t>机器人状态API（端口：19204）</t>
        </is>
      </c>
    </row>
    <row r="37" ht="25.5" customHeight="1">
      <c r="A37" s="2" t="str">
        <f>=HYPERLINK("https://seer-group.feishu.cn/wiki/ZMK8wLpAUiWA73kdIHpcP7XDn8g", "查询任意两点之间的路径")</f>
        <v>查询任意两点之间的路径</v>
      </c>
      <c r="B37">
        <v>1303</v>
      </c>
      <c r="C37" t="inlineStr">
        <is>
          <t>robot_status_get_path_req</t>
        </is>
      </c>
      <c r="D37" t="inlineStr">
        <is>
          <t>查询任意两点之间的路径</t>
        </is>
      </c>
      <c r="E37"/>
      <c r="F37" t="inlineStr">
        <is>
          <t>机器人状态API（端口：19204）</t>
        </is>
      </c>
    </row>
    <row r="38" ht="25.5" customHeight="1">
      <c r="A38" s="2" t="str">
        <f>=HYPERLINK("https://seer-group.feishu.cn/wiki/QddLwmdYLi1XcRkCgA6ccvXdnHh", "查询机器人支持标定列表")</f>
        <v>查询机器人支持标定列表</v>
      </c>
      <c r="B38">
        <v>1509</v>
      </c>
      <c r="C38" t="inlineStr">
        <is>
          <t>ROBOT_STATUS_CALIB_SUPPORT_LIST_REQ</t>
        </is>
      </c>
      <c r="D38" t="inlineStr">
        <is>
          <t>查询机器人支持标定列表</t>
        </is>
      </c>
      <c r="E38"/>
      <c r="F38" t="inlineStr">
        <is>
          <t>机器人状态API（端口：19204）</t>
        </is>
      </c>
    </row>
    <row r="39" ht="25.5" customHeight="1">
      <c r="A39" s="2" t="str">
        <f>=HYPERLINK("https://seer-group.feishu.cn/wiki/NRxuw9RkUil7kEkJDVycr0s3nAh", "查询机器人标定状态")</f>
        <v>查询机器人标定状态</v>
      </c>
      <c r="B39">
        <v>1510</v>
      </c>
      <c r="C39" t="inlineStr">
        <is>
          <t>ROBOT_STATUS_CALIB_STATUS_REQ</t>
        </is>
      </c>
      <c r="D39" t="inlineStr">
        <is>
          <t>查询机器人标定状态</t>
        </is>
      </c>
      <c r="E39"/>
      <c r="F39" t="inlineStr">
        <is>
          <t>机器人状态API（端口：19204）</t>
        </is>
      </c>
    </row>
    <row r="40" ht="25.5" customHeight="1">
      <c r="A40" s="2" t="str">
        <f>=HYPERLINK("https://seer-group.feishu.cn/wiki/PQlBwv0SSiiPaxk6cHrcKIljnad", "查询机器人标定文件")</f>
        <v>查询机器人标定文件</v>
      </c>
      <c r="B40">
        <v>1511</v>
      </c>
      <c r="C40" t="inlineStr">
        <is>
          <t>ROBOT_STATUS_CALIB_DATA_REQ</t>
        </is>
      </c>
      <c r="D40" t="inlineStr">
        <is>
          <t>查询机器人标定文件</t>
        </is>
      </c>
      <c r="E40"/>
      <c r="F40" t="inlineStr">
        <is>
          <t>机器人状态API（端口：19204）</t>
        </is>
      </c>
    </row>
    <row r="41" ht="25.5" customHeight="1">
      <c r="A41" s="2" t="str">
        <f>=HYPERLINK("https://seer-group.feishu.cn/wiki/CzewwZuCAirWjlk9cebcHEn8nBX", "查询机器人参数")</f>
        <v>查询机器人参数</v>
      </c>
      <c r="B41">
        <v>1400</v>
      </c>
      <c r="C41" t="inlineStr">
        <is>
          <t>robot_status_params_req</t>
        </is>
      </c>
      <c r="D41" t="inlineStr">
        <is>
          <t>查询机器人参数信息</t>
        </is>
      </c>
      <c r="E41"/>
      <c r="F41" t="inlineStr">
        <is>
          <t>机器人状态API（端口：19204）</t>
        </is>
      </c>
    </row>
    <row r="42" ht="25.5" customHeight="1">
      <c r="A42" s="2" t="str">
        <f>=HYPERLINK("https://seer-group.feishu.cn/wiki/Ld9rwbVciilVbRkN42UcE6p1npe", "下载机器人模型文件")</f>
        <v>下载机器人模型文件</v>
      </c>
      <c r="B42">
        <v>1500</v>
      </c>
      <c r="C42" t="inlineStr">
        <is>
          <t>robot_status_model_req</t>
        </is>
      </c>
      <c r="D42" t="inlineStr">
        <is>
          <t>下载机器人模型文件</t>
        </is>
      </c>
      <c r="E42"/>
      <c r="F42" t="inlineStr">
        <is>
          <t>机器人状态API（端口：19204）</t>
        </is>
      </c>
    </row>
    <row r="43" ht="25.5" customHeight="1">
      <c r="A43" s="2" t="str">
        <f>=HYPERLINK("https://seer-group.feishu.cn/wiki/CYmjwvXNXiXFS1kxRzMcimS1nxc", "上传机器人文件")</f>
        <v>上传机器人文件</v>
      </c>
      <c r="B43">
        <v>1799</v>
      </c>
      <c r="C43" t="inlineStr">
        <is>
          <t>robot_status_uploadfile_req</t>
        </is>
      </c>
      <c r="D43" t="inlineStr">
        <is>
          <t>上传机器人文件</t>
        </is>
      </c>
      <c r="E43"/>
      <c r="F43" t="inlineStr">
        <is>
          <t>机器人状态API（端口：19204）</t>
        </is>
      </c>
    </row>
    <row r="44" ht="25.5" customHeight="1">
      <c r="A44" s="2" t="str">
        <f>=HYPERLINK("https://seer-group.feishu.cn/wiki/PqcvwbKUbiCWZOkXXnQc9QJInEe", "下载机器人文件")</f>
        <v>下载机器人文件</v>
      </c>
      <c r="B44">
        <v>1800</v>
      </c>
      <c r="C44" t="inlineStr">
        <is>
          <t>robot_status_downloadfile_req</t>
        </is>
      </c>
      <c r="D44" t="inlineStr">
        <is>
          <t>下载机器人文件</t>
        </is>
      </c>
      <c r="E44"/>
      <c r="F44" t="inlineStr">
        <is>
          <t>机器人状态API（端口：19204）</t>
        </is>
      </c>
    </row>
    <row r="45" ht="25.5" customHeight="1">
      <c r="A45" s="2" t="str">
        <f>=HYPERLINK("https://seer-group.feishu.cn/wiki/SWuYwxgqDisxO0kzrfec5o63nAd", "查询机器人文件列表")</f>
        <v>查询机器人文件列表</v>
      </c>
      <c r="B45">
        <v>1798</v>
      </c>
      <c r="C45" t="inlineStr">
        <is>
          <t>robot_status_listfile_req</t>
        </is>
      </c>
      <c r="D45" t="inlineStr">
        <is>
          <t>查询机器人文件列表</t>
        </is>
      </c>
      <c r="E45"/>
      <c r="F45" t="inlineStr">
        <is>
          <t>机器人状态API（端口：19204）</t>
        </is>
      </c>
    </row>
    <row r="46" ht="25.5" customHeight="1">
      <c r="A46" s="2" t="str">
        <f>=HYPERLINK("https://seer-group.feishu.cn/wiki/ReBswEV8XiScqzkzsXdcaK0Fnzf", "查询机器人脚本列表")</f>
        <v>查询机器人脚本列表</v>
      </c>
      <c r="B46">
        <v>1506</v>
      </c>
      <c r="C46" t="inlineStr">
        <is>
          <t>robot_status_script_info_req</t>
        </is>
      </c>
      <c r="D46" t="inlineStr">
        <is>
          <t>查询机器人脚本列表</t>
        </is>
      </c>
      <c r="E46" t="inlineStr">
        <is>
          <t>脚本</t>
        </is>
      </c>
      <c r="F46" t="inlineStr">
        <is>
          <t>机器人状态API（端口：19204）</t>
        </is>
      </c>
    </row>
    <row r="47" ht="25.5" customHeight="1">
      <c r="A47" s="2" t="str">
        <f>=HYPERLINK("https://seer-group.feishu.cn/wiki/VGWvwTHcQivLk0k0c8bcuhzXnFh", "查询机器人脚本详情列表")</f>
        <v>查询机器人脚本详情列表</v>
      </c>
      <c r="B47">
        <v>1507</v>
      </c>
      <c r="C47" t="inlineStr">
        <is>
          <t>robot_status_script_detailslist_req</t>
        </is>
      </c>
      <c r="D47" t="inlineStr">
        <is>
          <t>查询机器人脚本详情列表</t>
        </is>
      </c>
      <c r="E47" t="inlineStr">
        <is>
          <t>脚本</t>
        </is>
      </c>
      <c r="F47" t="inlineStr">
        <is>
          <t>机器人状态API（端口：19204）</t>
        </is>
      </c>
    </row>
    <row r="48" ht="25.5" customHeight="1">
      <c r="A48" s="2" t="str">
        <f>=HYPERLINK("https://seer-group.feishu.cn/wiki/FceLwSBVXiNGd5kEuSAcMYjun0s", "查询机器人脚本默认参数")</f>
        <v>查询机器人脚本默认参数</v>
      </c>
      <c r="B48">
        <v>1508</v>
      </c>
      <c r="C48" t="inlineStr">
        <is>
          <t>robot_status_script_args_req</t>
        </is>
      </c>
      <c r="D48" t="inlineStr">
        <is>
          <t>查询机器人脚本默认参数</t>
        </is>
      </c>
      <c r="E48" t="inlineStr">
        <is>
          <t>脚本</t>
        </is>
      </c>
      <c r="F48" t="inlineStr">
        <is>
          <t>机器人状态API（端口：19204）</t>
        </is>
      </c>
    </row>
    <row r="49" ht="25.5" customHeight="1">
      <c r="A49" s="2" t="str">
        <f>=HYPERLINK("https://seer-group.feishu.cn/wiki/HwjBwHU8Ji4cwNkLACtcdZgMnl1", "查询透传数据")</f>
        <v>查询透传数据</v>
      </c>
      <c r="B49">
        <v>1900</v>
      </c>
      <c r="C49" t="inlineStr">
        <is>
          <t>robot_status_transparent_data_req</t>
        </is>
      </c>
      <c r="D49" t="inlineStr">
        <is>
          <t>查询透传的数据信息</t>
        </is>
      </c>
      <c r="E49"/>
      <c r="F49" t="inlineStr">
        <is>
          <t>机器人状态API（端口：19204）</t>
        </is>
      </c>
    </row>
    <row r="50" ht="25.5" customHeight="1">
      <c r="A50" s="2" t="str">
        <f>=HYPERLINK("https://seer-group.feishu.cn/wiki/Ro3YwGMawicyFtkKyZgclUxInvg", "计算机械臂坐标转换")</f>
        <v>计算机械臂坐标转换</v>
      </c>
      <c r="B50">
        <v>1670</v>
      </c>
      <c r="C50" t="inlineStr">
        <is>
          <t>robot_status_armcalculate_req</t>
        </is>
      </c>
      <c r="D50" t="inlineStr">
        <is>
          <t>计算机械臂坐标转换</t>
        </is>
      </c>
      <c r="E50"/>
      <c r="F50" t="inlineStr">
        <is>
          <t>机器人状态API（端口：19204）</t>
        </is>
      </c>
    </row>
    <row r="51" ht="25.5" customHeight="1">
      <c r="A51" s="2" t="str">
        <f>=HYPERLINK("https://seer-group.feishu.cn/wiki/T1H0wdBcuiK6u5kTJDrcn5pdnBb", "查询机械臂状态")</f>
        <v>查询机械臂状态</v>
      </c>
      <c r="B51">
        <v>1669</v>
      </c>
      <c r="C51" t="inlineStr">
        <is>
          <t>robot_status_armstatus_req</t>
        </is>
      </c>
      <c r="D51" t="inlineStr">
        <is>
          <t>查询机械臂状态</t>
        </is>
      </c>
      <c r="E51"/>
      <c r="F51" t="inlineStr">
        <is>
          <t>机器人状态API（端口：19204）</t>
        </is>
      </c>
    </row>
    <row r="52" ht="25.5" customHeight="1">
      <c r="A52" s="2" t="str">
        <f>=HYPERLINK("https://seer-group.feishu.cn/wiki/L0W4w4A40ipdqckqTKtc0atfnmc", "机械臂运动控制")</f>
        <v>机械臂运动控制</v>
      </c>
      <c r="B52">
        <v>1673</v>
      </c>
      <c r="C52" t="inlineStr">
        <is>
          <t>robot_status_armmove_req</t>
        </is>
      </c>
      <c r="D52" t="inlineStr">
        <is>
          <t>机械臂运动控制</t>
        </is>
      </c>
      <c r="E52"/>
      <c r="F52" t="inlineStr">
        <is>
          <t>机器人状态API（端口：19204）</t>
        </is>
      </c>
    </row>
    <row r="53" ht="25.5" customHeight="1">
      <c r="A53" s="2" t="str">
        <f>=HYPERLINK("https://seer-group.feishu.cn/wiki/PjWtwj9jZicpQhkGkXLcb2Xwnrd", "机械臂binTask任务")</f>
        <v>机械臂binTask任务</v>
      </c>
      <c r="B53">
        <v>1671</v>
      </c>
      <c r="C53" t="inlineStr">
        <is>
          <t>robot_status_armtask_req</t>
        </is>
      </c>
      <c r="D53" t="inlineStr">
        <is>
          <t>机械臂binTask任务</t>
        </is>
      </c>
      <c r="E53"/>
      <c r="F53" t="inlineStr">
        <is>
          <t>机器人状态API（端口：19204）</t>
        </is>
      </c>
    </row>
    <row r="54" ht="25.5" customHeight="1">
      <c r="A54" s="2" t="str">
        <f>=HYPERLINK("https://seer-group.feishu.cn/wiki/VeMRwymTiiI64mk01ohcQUWEnYQ", "机器臂示教器面板控制")</f>
        <v>机器臂示教器面板控制</v>
      </c>
      <c r="B54">
        <v>1674</v>
      </c>
      <c r="C54" t="inlineStr">
        <is>
          <t>robot_status_armoperation_req</t>
        </is>
      </c>
      <c r="D54" t="inlineStr">
        <is>
          <t>机器臂示教器面板控制</t>
        </is>
      </c>
      <c r="E54"/>
      <c r="F54" t="inlineStr">
        <is>
          <t>机器人状态API（端口：19204）</t>
        </is>
      </c>
    </row>
    <row r="55" ht="25.5" customHeight="1">
      <c r="A55" s="2" t="str">
        <f>=HYPERLINK("https://seer-group.feishu.cn/wiki/JAwAw2tIhiAB31k0KJPcQTQyn1e", "仿真从文件识别")</f>
        <v>仿真从文件识别</v>
      </c>
      <c r="B55">
        <v>1676</v>
      </c>
      <c r="C55" t="inlineStr">
        <is>
          <t>robot_status_recofiles_req</t>
        </is>
      </c>
      <c r="D55" t="inlineStr">
        <is>
          <t>仿真从文件识别</t>
        </is>
      </c>
      <c r="E55"/>
      <c r="F55" t="inlineStr">
        <is>
          <t>机器人状态API（端口：19204）</t>
        </is>
      </c>
    </row>
    <row r="56" ht="25.5" customHeight="1">
      <c r="A56" s="2" t="str">
        <f>=HYPERLINK("https://seer-group.feishu.cn/wiki/AGI3wH8gAiTKWfkrSkGc67aen8e", "查询当前识别相机的点云图片")</f>
        <v>查询当前识别相机的点云图片</v>
      </c>
      <c r="B56">
        <v>1675</v>
      </c>
      <c r="C56" t="inlineStr">
        <is>
          <t>robot_status_cloudprojection_req</t>
        </is>
      </c>
      <c r="D56" t="inlineStr">
        <is>
          <t>查询当前识别相机的点云图片</t>
        </is>
      </c>
      <c r="E56"/>
      <c r="F56" t="inlineStr">
        <is>
          <t>机器人状态API（端口：19204）</t>
        </is>
      </c>
    </row>
    <row r="57" ht="25.5" customHeight="1">
      <c r="A57" s="2" t="str">
        <f>=HYPERLINK("https://seer-group.feishu.cn/wiki/JJBRwRXSJiPv21kU6A3cbTODnTe", "运行电池外置脚本")</f>
        <v>运行电池外置脚本</v>
      </c>
      <c r="B57">
        <v>1901</v>
      </c>
      <c r="C57" t="inlineStr">
        <is>
          <t>robot_status_startbatteryscript_req</t>
        </is>
      </c>
      <c r="D57" t="inlineStr">
        <is>
          <t>运行外置脚本</t>
        </is>
      </c>
      <c r="E57" t="inlineStr">
        <is>
          <t>脚本</t>
        </is>
      </c>
      <c r="F57" t="inlineStr">
        <is>
          <t>机器人状态API（端口：19204）</t>
        </is>
      </c>
    </row>
    <row r="58" ht="25.5" customHeight="1">
      <c r="A58" s="2" t="str">
        <f>=HYPERLINK("https://seer-group.feishu.cn/wiki/V370wWxvviR4HGkU9wzcJVCInRf", "停止电池外置脚本")</f>
        <v>停止电池外置脚本</v>
      </c>
      <c r="B58">
        <v>1902</v>
      </c>
      <c r="C58" t="inlineStr">
        <is>
          <t>robot_status_stopbatteryscript_req</t>
        </is>
      </c>
      <c r="D58" t="inlineStr">
        <is>
          <t>停止外置脚本</t>
        </is>
      </c>
      <c r="E58" t="inlineStr">
        <is>
          <t>脚本</t>
        </is>
      </c>
      <c r="F58" t="inlineStr">
        <is>
          <t>机器人状态API（端口：19204）</t>
        </is>
      </c>
    </row>
    <row r="59" ht="25.5" customHeight="1">
      <c r="A59" s="2" t="str">
        <f>=HYPERLINK("https://seer-group.feishu.cn/wiki/BneTwBfGFiNxzhkkSWqc3EiFnme", "运行氛围灯脚本")</f>
        <v>运行氛围灯脚本</v>
      </c>
      <c r="B59">
        <v>1903</v>
      </c>
      <c r="C59" t="inlineStr">
        <is>
          <t>robot_status_startdmxscript_req</t>
        </is>
      </c>
      <c r="D59" t="inlineStr">
        <is>
          <t>运行氛围灯脚本</t>
        </is>
      </c>
      <c r="E59" t="inlineStr">
        <is>
          <t>脚本</t>
        </is>
      </c>
      <c r="F59" t="inlineStr">
        <is>
          <t>机器人状态API（端口：19204）</t>
        </is>
      </c>
    </row>
    <row r="60" ht="25.5" customHeight="1">
      <c r="A60" s="2" t="str">
        <f>=HYPERLINK("https://seer-group.feishu.cn/wiki/Y1zqw9OEMiYyFukmex0cchiAn7c", "停止氛围灯脚本")</f>
        <v>停止氛围灯脚本</v>
      </c>
      <c r="B60">
        <v>1904</v>
      </c>
      <c r="C60" t="inlineStr">
        <is>
          <t>robot_status_stopdmxscript_req</t>
        </is>
      </c>
      <c r="D60" t="inlineStr">
        <is>
          <t>停止氛围灯脚本</t>
        </is>
      </c>
      <c r="E60" t="inlineStr">
        <is>
          <t>脚本</t>
        </is>
      </c>
      <c r="F60" t="inlineStr">
        <is>
          <t>机器人状态API（端口：19204）</t>
        </is>
      </c>
    </row>
    <row r="61" ht="25.5" customHeight="1">
      <c r="A61" s="2" t="str">
        <f>=HYPERLINK("https://seer-group.feishu.cn/wiki/Q0Kkw5Tz5iBVglkSC7ZcAUtJn6f", "查询驱动器参数")</f>
        <v>查询驱动器参数</v>
      </c>
      <c r="B61">
        <v>1750</v>
      </c>
      <c r="C61" t="inlineStr">
        <is>
          <t>robot_status_canframe_req</t>
        </is>
      </c>
      <c r="D61" t="inlineStr">
        <is>
          <t>查询驱动器参数</t>
        </is>
      </c>
      <c r="E61"/>
      <c r="F61" t="inlineStr">
        <is>
          <t>机器人状态API（端口：19204）</t>
        </is>
      </c>
    </row>
    <row r="62" ht="25.5" customHeight="1">
      <c r="A62" s="2" t="str">
        <f>=HYPERLINK("https://seer-group.feishu.cn/wiki/Az6Mwx30fi6iwDkgbTFcH0BsnXf", "查询建图时的3D二维码")</f>
        <v>查询建图时的3D二维码</v>
      </c>
      <c r="B62">
        <v>1665</v>
      </c>
      <c r="C62" t="inlineStr">
        <is>
          <t>robot_status_3dtag_req</t>
        </is>
      </c>
      <c r="D62" t="inlineStr">
        <is>
          <t>查询建图时的3D二维码</t>
        </is>
      </c>
      <c r="E62"/>
      <c r="F62" t="inlineStr">
        <is>
          <t>机器人状态API（端口：19204）</t>
        </is>
      </c>
    </row>
    <row r="63" ht="25.5" customHeight="1">
      <c r="A63" s="2" t="str">
        <f>=HYPERLINK("https://seer-group.feishu.cn/wiki/DIJCww6Ebi2pOSkSODgcRjmDnKf", "查询GNSS连接状态")</f>
        <v>查询GNSS连接状态</v>
      </c>
      <c r="B63">
        <v>1760</v>
      </c>
      <c r="C63" t="inlineStr">
        <is>
          <t>robot_status_gnsscheck_req</t>
        </is>
      </c>
      <c r="D63" t="inlineStr">
        <is>
          <t>查询机器人 GNSS 连接状态</t>
        </is>
      </c>
      <c r="E63"/>
      <c r="F63" t="inlineStr">
        <is>
          <t>机器人状态API（端口：19204）</t>
        </is>
      </c>
    </row>
    <row r="64" ht="25.5" customHeight="1">
      <c r="A64" s="2" t="str">
        <f>=HYPERLINK("https://seer-group.feishu.cn/wiki/HsP9wVgLJiAOd2kBeBWcdqGkn0c", "查询GNSS设备列表")</f>
        <v>查询GNSS设备列表</v>
      </c>
      <c r="B64">
        <v>1761</v>
      </c>
      <c r="C64" t="inlineStr">
        <is>
          <t>robot_status_gnss_list_req</t>
        </is>
      </c>
      <c r="D64" t="inlineStr">
        <is>
          <t>查询机器人 GNSS 设备列表</t>
        </is>
      </c>
      <c r="E64"/>
      <c r="F64" t="inlineStr">
        <is>
          <t>机器人状态API（端口：19204）</t>
        </is>
      </c>
    </row>
    <row r="65" ht="25.5" customHeight="1">
      <c r="A65" s="2" t="str">
        <f>=HYPERLINK("https://seer-group.feishu.cn/wiki/FbMvwn6HviUfGwkMeAJckKnQnrg", "查询当前播放音频名称")</f>
        <v>查询当前播放音频名称</v>
      </c>
      <c r="B65">
        <v>1850</v>
      </c>
      <c r="C65" t="inlineStr">
        <is>
          <t>robot_status_sound_req</t>
        </is>
      </c>
      <c r="D65" t="inlineStr">
        <is>
          <t>查询当前播放音频名称</t>
        </is>
      </c>
      <c r="E65"/>
      <c r="F65" t="inlineStr">
        <is>
          <t>机器人状态API（端口：19204）</t>
        </is>
      </c>
    </row>
    <row r="66" ht="25.5" customHeight="1">
      <c r="A66" s="2" t="str">
        <f>=HYPERLINK("https://seer-group.feishu.cn/wiki/IaQAwHoc8iAfF1kHAE2cyrAIn2b", "下载手柄自定义绑定事件")</f>
        <v>下载手柄自定义绑定事件</v>
      </c>
      <c r="B66">
        <v>1852</v>
      </c>
      <c r="C66" t="inlineStr">
        <is>
          <t>robot_status_joystick_keymap_req</t>
        </is>
      </c>
      <c r="D66" t="inlineStr">
        <is>
          <t>下载手柄自定义绑定事件</t>
        </is>
      </c>
      <c r="E66"/>
      <c r="F66" t="inlineStr">
        <is>
          <t>机器人状态API（端口：19204）</t>
        </is>
      </c>
    </row>
    <row r="67" ht="25.5" customHeight="1">
      <c r="A67" s="2" t="str">
        <f>=HYPERLINK("https://seer-group.feishu.cn/wiki/XfCAw6dJZiW3jLkdKYqcld9Rnxe", "机器人控制API（端口：19205）")</f>
        <v>机器人控制API（端口：19205）</v>
      </c>
      <c r="B67"/>
      <c r="C67"/>
      <c r="D67"/>
      <c r="E67"/>
      <c r="F67"/>
    </row>
    <row r="68" ht="25.5" customHeight="1">
      <c r="A68" s="2" t="str">
        <f>=HYPERLINK("https://seer-group.feishu.cn/wiki/ZfH4wMSr6iBktwkhimPcxCyhnTc", "停止开环运动")</f>
        <v>停止开环运动</v>
      </c>
      <c r="B68">
        <v>2000</v>
      </c>
      <c r="C68" t="inlineStr">
        <is>
          <t>robot_control_stop_req</t>
        </is>
      </c>
      <c r="D68" t="inlineStr">
        <is>
          <t>停止开环运动</t>
        </is>
      </c>
      <c r="E68"/>
      <c r="F68" t="inlineStr">
        <is>
          <t>机器人控制API（端口：19205）</t>
        </is>
      </c>
    </row>
    <row r="69" ht="25.5" customHeight="1">
      <c r="A69" s="2" t="str">
        <f>=HYPERLINK("https://seer-group.feishu.cn/wiki/JjaKwRaPmivuECkgb8CcoH9Jntd", "确认定位正确")</f>
        <v>确认定位正确</v>
      </c>
      <c r="B69">
        <v>2003</v>
      </c>
      <c r="C69" t="inlineStr">
        <is>
          <t>robot_control_comfirmloc_req</t>
        </is>
      </c>
      <c r="D69" t="inlineStr">
        <is>
          <t>确认定位正确</t>
        </is>
      </c>
      <c r="E69"/>
      <c r="F69" t="inlineStr">
        <is>
          <t>机器人控制API（端口：19205）</t>
        </is>
      </c>
    </row>
    <row r="70" ht="25.5" customHeight="1">
      <c r="A70" s="2" t="str">
        <f>=HYPERLINK("https://seer-group.feishu.cn/wiki/AOwSwqCGbiWgKxkMgK5cXijGnf3", "重定位")</f>
        <v>重定位</v>
      </c>
      <c r="B70">
        <v>2002</v>
      </c>
      <c r="C70" t="inlineStr">
        <is>
          <t>robot_control_reloc_req</t>
        </is>
      </c>
      <c r="D70" t="inlineStr">
        <is>
          <t>重定位</t>
        </is>
      </c>
      <c r="E70"/>
      <c r="F70" t="inlineStr">
        <is>
          <t>机器人控制API（端口：19205）</t>
        </is>
      </c>
    </row>
    <row r="71" ht="25.5" customHeight="1">
      <c r="A71" s="2" t="str">
        <f>=HYPERLINK("https://seer-group.feishu.cn/wiki/WAAYwsZCXi6j7LkRuP1c28cXnDc", "取消重定位")</f>
        <v>取消重定位</v>
      </c>
      <c r="B71">
        <v>2004</v>
      </c>
      <c r="C71" t="inlineStr">
        <is>
          <t>robot_control_cancelreloc_req</t>
        </is>
      </c>
      <c r="D71" t="inlineStr">
        <is>
          <t>取消重定位</t>
        </is>
      </c>
      <c r="E71"/>
      <c r="F71" t="inlineStr">
        <is>
          <t>机器人控制API（端口：19205）</t>
        </is>
      </c>
    </row>
    <row r="72" ht="25.5" customHeight="1">
      <c r="A72" s="2" t="str">
        <f>=HYPERLINK("https://seer-group.feishu.cn/wiki/S7XvwhwKuinkUqksphgchTbEnie", "开环运动")</f>
        <v>开环运动</v>
      </c>
      <c r="B72">
        <v>2010</v>
      </c>
      <c r="C72" t="inlineStr">
        <is>
          <t>robot_control_motion_req</t>
        </is>
      </c>
      <c r="D72" t="inlineStr">
        <is>
          <t>开环运动（如果机器人正在执行导航任务，下发此条指令后导航任务会被取消）</t>
        </is>
      </c>
      <c r="E72"/>
      <c r="F72" t="inlineStr">
        <is>
          <t>机器人控制API（端口：19205）</t>
        </is>
      </c>
    </row>
    <row r="73" ht="25.5" customHeight="1">
      <c r="A73" s="2" t="str">
        <f>=HYPERLINK("https://seer-group.feishu.cn/wiki/KOtnwMCBhihqSgkw0u2c5hLxnpe", "切换载入的地图")</f>
        <v>切换载入的地图</v>
      </c>
      <c r="B73">
        <v>2022</v>
      </c>
      <c r="C73" t="inlineStr">
        <is>
          <t>robot_control_loadmap_req</t>
        </is>
      </c>
      <c r="D73" t="inlineStr">
        <is>
          <t>切换载入的地图</t>
        </is>
      </c>
      <c r="E73" t="inlineStr">
        <is>
          <t>地图</t>
        </is>
      </c>
      <c r="F73" t="inlineStr">
        <is>
          <t>机器人控制API（端口：19205）</t>
        </is>
      </c>
    </row>
    <row r="74" ht="25.5" customHeight="1">
      <c r="A74" s="2" t="str">
        <f>=HYPERLINK("https://seer-group.feishu.cn/wiki/QagLwX9uHiWZFSk6lnXcavZOnog", "电机编码器标零")</f>
        <v>电机编码器标零</v>
      </c>
      <c r="B74">
        <v>2024</v>
      </c>
      <c r="C74" t="inlineStr">
        <is>
          <t>robot_control_clearmotorencoder_req</t>
        </is>
      </c>
      <c r="D74" t="inlineStr">
        <is>
          <t>对指定电机标零</t>
        </is>
      </c>
      <c r="E74"/>
      <c r="F74" t="inlineStr">
        <is>
          <t>机器人控制API（端口：19205）</t>
        </is>
      </c>
    </row>
    <row r="75" ht="25.5" customHeight="1">
      <c r="A75" s="2" t="str">
        <f>=HYPERLINK("https://seer-group.feishu.cn/wiki/YznJw7rLpifHLtkRG2RcPMVHnkf", "称重传感器标零")</f>
        <v>称重传感器标零</v>
      </c>
      <c r="B75">
        <v>2026</v>
      </c>
      <c r="C75" t="inlineStr">
        <is>
          <t>robot_control_clear_weightdevvalue_req</t>
        </is>
      </c>
      <c r="D75" t="inlineStr">
        <is>
          <t>称重传感器标零</t>
        </is>
      </c>
      <c r="E75"/>
      <c r="F75" t="inlineStr">
        <is>
          <t>机器人控制API（端口：19205）</t>
        </is>
      </c>
    </row>
    <row r="76" ht="25.5" customHeight="1">
      <c r="A76" s="2" t="str">
        <f>=HYPERLINK("https://seer-group.feishu.cn/wiki/CmiGwqRaZiyRuvkRyXqcuqGtnld", "上传并切换载入地图")</f>
        <v>上传并切换载入地图</v>
      </c>
      <c r="B76">
        <v>2025</v>
      </c>
      <c r="C76" t="inlineStr">
        <is>
          <t>robot_control_upload_and_loadmap_req</t>
        </is>
      </c>
      <c r="D76" t="inlineStr">
        <is>
          <t>上传并切换载入地图</t>
        </is>
      </c>
      <c r="E76" t="inlineStr">
        <is>
          <t>地图</t>
        </is>
      </c>
      <c r="F76" t="inlineStr">
        <is>
          <t>机器人控制API（端口：19205）</t>
        </is>
      </c>
    </row>
    <row r="77" ht="25.5" customHeight="1">
      <c r="A77" s="2" t="str">
        <f>=HYPERLINK("https://seer-group.feishu.cn/wiki/F4oJw8UAtixR13kptt2cLehFnVg", "机器人导航API（端口：19206）")</f>
        <v>机器人导航API（端口：19206）</v>
      </c>
      <c r="B77"/>
      <c r="C77"/>
      <c r="D77"/>
      <c r="E77"/>
      <c r="F77"/>
    </row>
    <row r="78" ht="25.5" customHeight="1">
      <c r="A78" s="2" t="str">
        <f>=HYPERLINK("https://seer-group.feishu.cn/wiki/Q26SwaNoGisuLWk2vCxcPfVWn2e", "路径导航")</f>
        <v>路径导航</v>
      </c>
      <c r="B78">
        <v>3051</v>
      </c>
      <c r="C78" t="inlineStr">
        <is>
          <t>robot_task_gotarget_req</t>
        </is>
      </c>
      <c r="D78" t="inlineStr">
        <is>
          <t>路径导航</t>
        </is>
      </c>
      <c r="E78"/>
      <c r="F78" t="inlineStr">
        <is>
          <t>机器人导航API（端口：19206）</t>
        </is>
      </c>
    </row>
    <row r="79" ht="25.5" customHeight="1">
      <c r="A79" s="2" t="str">
        <f>=HYPERLINK("https://seer-group.feishu.cn/wiki/Rf4TwZDgyisymSkghQVc1qX6nOf", "指定路径导航")</f>
        <v>指定路径导航</v>
      </c>
      <c r="B79">
        <v>3066</v>
      </c>
      <c r="C79" t="inlineStr">
        <is>
          <t>robot_task_gotargetlist_req</t>
        </is>
      </c>
      <c r="D79" t="inlineStr">
        <is>
          <t>指定路径导航</t>
        </is>
      </c>
      <c r="E79"/>
      <c r="F79" t="inlineStr">
        <is>
          <t>机器人导航API（端口：19206）</t>
        </is>
      </c>
    </row>
    <row r="80" ht="25.5" customHeight="1">
      <c r="A80" s="2" t="str">
        <f>=HYPERLINK("https://seer-group.feishu.cn/wiki/NhfPwV2L2ij5iXkrsmBcZQR1n0e", "平动")</f>
        <v>平动</v>
      </c>
      <c r="B80">
        <v>3055</v>
      </c>
      <c r="C80" t="inlineStr">
        <is>
          <t>robot_task_translate_req</t>
        </is>
      </c>
      <c r="D80" t="inlineStr">
        <is>
          <t>平动，以固定速度直线运动固定距离</t>
        </is>
      </c>
      <c r="E80"/>
      <c r="F80" t="inlineStr">
        <is>
          <t>机器人导航API（端口：19206）</t>
        </is>
      </c>
    </row>
    <row r="81" ht="25.5" customHeight="1">
      <c r="A81" s="2" t="str">
        <f>=HYPERLINK("https://seer-group.feishu.cn/wiki/GuERwubRriOJzskwWGecYCtpn5f", "转动")</f>
        <v>转动</v>
      </c>
      <c r="B81">
        <v>3056</v>
      </c>
      <c r="C81" t="inlineStr">
        <is>
          <t>robot_task_turn_req</t>
        </is>
      </c>
      <c r="D81" t="inlineStr">
        <is>
          <t>转动, 以固定角速度旋转固定角度</t>
        </is>
      </c>
      <c r="E81"/>
      <c r="F81" t="inlineStr">
        <is>
          <t>机器人导航API（端口：19206）</t>
        </is>
      </c>
    </row>
    <row r="82" ht="25.5" customHeight="1">
      <c r="A82" s="2" t="str">
        <f>=HYPERLINK("https://seer-group.feishu.cn/wiki/YUNlwqwdgihiOHkwwn4cfp2on2c", "圆弧运动")</f>
        <v>圆弧运动</v>
      </c>
      <c r="B82">
        <v>3058</v>
      </c>
      <c r="C82" t="inlineStr">
        <is>
          <t>robot_task_circular_req</t>
        </is>
      </c>
      <c r="D82" t="inlineStr">
        <is>
          <t>圆弧运动</t>
        </is>
      </c>
      <c r="E82"/>
      <c r="F82" t="inlineStr">
        <is>
          <t>机器人导航API（端口：19206）</t>
        </is>
      </c>
    </row>
    <row r="83" ht="25.5" customHeight="1">
      <c r="A83" s="2" t="str">
        <f>=HYPERLINK("https://seer-group.feishu.cn/wiki/Xw7zwhZHliegz3kmRwIczwz2nYg", "启用和禁用线路")</f>
        <v>启用和禁用线路</v>
      </c>
      <c r="B83">
        <v>3059</v>
      </c>
      <c r="C83" t="inlineStr">
        <is>
          <t>robot_task_path_req</t>
        </is>
      </c>
      <c r="D83" t="inlineStr">
        <is>
          <t>启用和禁用线路</t>
        </is>
      </c>
      <c r="E83"/>
      <c r="F83" t="inlineStr">
        <is>
          <t>机器人导航API（端口：19206）</t>
        </is>
      </c>
    </row>
    <row r="84" ht="25.5" customHeight="1">
      <c r="A84" s="2" t="str">
        <f>=HYPERLINK("https://seer-group.feishu.cn/wiki/HIanw4DZsirojfkIvPdcx4k3nTh", "托盘旋转")</f>
        <v>托盘旋转</v>
      </c>
      <c r="B84">
        <v>3057</v>
      </c>
      <c r="C84" t="inlineStr">
        <is>
          <t>robot_task_spin_req</t>
        </is>
      </c>
      <c r="D84" t="inlineStr">
        <is>
          <t>对托盘进行旋转</t>
        </is>
      </c>
      <c r="E84"/>
      <c r="F84" t="inlineStr">
        <is>
          <t>机器人导航API（端口：19206）</t>
        </is>
      </c>
    </row>
    <row r="85" ht="25.5" customHeight="1">
      <c r="A85" s="2" t="str">
        <f>=HYPERLINK("https://seer-group.feishu.cn/wiki/Q2XGwjsqaiUpcOkHNGkcNcrPnnf", "暂停当前导航")</f>
        <v>暂停当前导航</v>
      </c>
      <c r="B85">
        <v>3001</v>
      </c>
      <c r="C85" t="inlineStr">
        <is>
          <t>robot_task_pause_req</t>
        </is>
      </c>
      <c r="D85" t="inlineStr">
        <is>
          <t>暂停当前导航</t>
        </is>
      </c>
      <c r="E85"/>
      <c r="F85" t="inlineStr">
        <is>
          <t>机器人导航API（端口：19206）</t>
        </is>
      </c>
    </row>
    <row r="86" ht="25.5" customHeight="1">
      <c r="A86" s="2" t="str">
        <f>=HYPERLINK("https://seer-group.feishu.cn/wiki/CXHcwG0VIiy8eUkP0dVcT3LTn18", "继续当前导航")</f>
        <v>继续当前导航</v>
      </c>
      <c r="B86">
        <v>3002</v>
      </c>
      <c r="C86" t="inlineStr">
        <is>
          <t>robot_task_resume_req</t>
        </is>
      </c>
      <c r="D86" t="inlineStr">
        <is>
          <t>继续当前导航</t>
        </is>
      </c>
      <c r="E86"/>
      <c r="F86" t="inlineStr">
        <is>
          <t>机器人导航API（端口：19206）</t>
        </is>
      </c>
    </row>
    <row r="87" ht="25.5" customHeight="1">
      <c r="A87" s="2" t="str">
        <f>=HYPERLINK("https://seer-group.feishu.cn/wiki/H2Y0wntd7iJl57kql3rccA91n2e", "取消当前导航")</f>
        <v>取消当前导航</v>
      </c>
      <c r="B87">
        <v>3003</v>
      </c>
      <c r="C87" t="inlineStr">
        <is>
          <t>robot_task_cancel_req</t>
        </is>
      </c>
      <c r="D87" t="inlineStr">
        <is>
          <t>取消当前导航</t>
        </is>
      </c>
      <c r="E87"/>
      <c r="F87" t="inlineStr">
        <is>
          <t>机器人导航API（端口：19206）</t>
        </is>
      </c>
    </row>
    <row r="88" ht="25.5" customHeight="1">
      <c r="A88" s="2" t="str">
        <f>=HYPERLINK("https://seer-group.feishu.cn/wiki/KUViwq15oixKjTk9zqScGWzonqb", "查询机器人任务链")</f>
        <v>查询机器人任务链</v>
      </c>
      <c r="B88">
        <v>3101</v>
      </c>
      <c r="C88" t="inlineStr">
        <is>
          <t>robot_tasklist_status_req</t>
        </is>
      </c>
      <c r="D88" t="inlineStr">
        <is>
          <t>查询机器人任务链</t>
        </is>
      </c>
      <c r="E88"/>
      <c r="F88" t="inlineStr">
        <is>
          <t>机器人导航API（端口：19206）</t>
        </is>
      </c>
    </row>
    <row r="89" ht="25.5" customHeight="1">
      <c r="A89" s="2" t="str">
        <f>=HYPERLINK("https://seer-group.feishu.cn/wiki/AziLwKpxfiJloCkH5SYcP7JLnbf", "查询机器人所有任务链")</f>
        <v>查询机器人所有任务链</v>
      </c>
      <c r="B89">
        <v>3115</v>
      </c>
      <c r="C89" t="inlineStr">
        <is>
          <t>robot_tasklist_list_req</t>
        </is>
      </c>
      <c r="D89" t="inlineStr">
        <is>
          <t>查询机器人所有任务链</t>
        </is>
      </c>
      <c r="E89"/>
      <c r="F89" t="inlineStr">
        <is>
          <t>机器人导航API（端口：19206）</t>
        </is>
      </c>
    </row>
    <row r="90" ht="25.5" customHeight="1">
      <c r="A90" s="2" t="str">
        <f>=HYPERLINK("https://seer-group.feishu.cn/wiki/LUKFwv7dUipDv9k9tnNceQDxnYd", "执行预存任务链")</f>
        <v>执行预存任务链</v>
      </c>
      <c r="B90">
        <v>3106</v>
      </c>
      <c r="C90" t="inlineStr">
        <is>
          <t>robot_tasklist_name_req</t>
        </is>
      </c>
      <c r="D90" t="inlineStr">
        <is>
          <t>执行预存任务链</t>
        </is>
      </c>
      <c r="E90"/>
      <c r="F90" t="inlineStr">
        <is>
          <t>机器人导航API（端口：19206）</t>
        </is>
      </c>
    </row>
    <row r="91" ht="25.5" customHeight="1">
      <c r="A91" s="2" t="str">
        <f>=HYPERLINK("https://seer-group.feishu.cn/wiki/ALwYwPWbPiSMdykfiyQcQ7BGnCe", "获取路径导航的路径")</f>
        <v>获取路径导航的路径</v>
      </c>
      <c r="B91">
        <v>3053</v>
      </c>
      <c r="C91" t="inlineStr">
        <is>
          <t>robot_task_target_path_req</t>
        </is>
      </c>
      <c r="D91" t="inlineStr">
        <is>
          <t>获取路径导航的路径</t>
        </is>
      </c>
      <c r="E91"/>
      <c r="F91" t="inlineStr">
        <is>
          <t>机器人导航API（端口：19206）</t>
        </is>
      </c>
    </row>
    <row r="92" ht="25.5" customHeight="1">
      <c r="A92" s="2" t="str">
        <f>=HYPERLINK("https://seer-group.feishu.cn/wiki/OpSAwYtrHiXy3MklCfDcztJNnEf", "清除指定导航路径")</f>
        <v>清除指定导航路径</v>
      </c>
      <c r="B92">
        <v>3067</v>
      </c>
      <c r="C92" t="inlineStr">
        <is>
          <t>robot_task_cleartargetlist_req</t>
        </is>
      </c>
      <c r="D92" t="inlineStr">
        <is>
          <t>清除指定导航路径</t>
        </is>
      </c>
      <c r="E92"/>
      <c r="F92" t="inlineStr">
        <is>
          <t>机器人导航API（端口：19206）</t>
        </is>
      </c>
    </row>
    <row r="93" ht="25.5" customHeight="1">
      <c r="A93" s="2" t="str">
        <f>=HYPERLINK("https://seer-group.feishu.cn/wiki/RqaqwDpuiioQNrkuGYGcuzSXnRb", "根据任务id清除指定导航路径")</f>
        <v>根据任务id清除指定导航路径</v>
      </c>
      <c r="B93">
        <v>3068</v>
      </c>
      <c r="C93" t="inlineStr">
        <is>
          <t>robot_task_safeclearmovements_req</t>
        </is>
      </c>
      <c r="D93" t="inlineStr">
        <is>
          <t>根据任务id清除指定导航路径</t>
        </is>
      </c>
      <c r="E93"/>
      <c r="F93" t="inlineStr">
        <is>
          <t>机器人导航API（端口：19206）</t>
        </is>
      </c>
    </row>
    <row r="94" ht="25.5" customHeight="1">
      <c r="A94" s="2" t="str">
        <f>=HYPERLINK("https://seer-group.feishu.cn/wiki/X8GcwSx6aivKdJkLehCcC7TwnCb", "机器人配置API（端口：19207）")</f>
        <v>机器人配置API（端口：19207）</v>
      </c>
      <c r="B94"/>
      <c r="C94"/>
      <c r="D94"/>
      <c r="E94"/>
      <c r="F94"/>
    </row>
    <row r="95" ht="25.5" customHeight="1">
      <c r="A95" s="2" t="str">
        <f>=HYPERLINK("https://seer-group.feishu.cn/wiki/QN8nw6YebiF41kk72bocW6hunbh", "上传地图到机器人")</f>
        <v>上传地图到机器人</v>
      </c>
      <c r="B95">
        <v>4010</v>
      </c>
      <c r="C95" t="inlineStr">
        <is>
          <t>robot_config_uploadmap_req</t>
        </is>
      </c>
      <c r="D95" t="inlineStr">
        <is>
          <t>上传地图到机器人</t>
        </is>
      </c>
      <c r="E95" t="inlineStr">
        <is>
          <t>地图</t>
        </is>
      </c>
      <c r="F95" t="inlineStr">
        <is>
          <t>机器人配置API（端口：19207）</t>
        </is>
      </c>
    </row>
    <row r="96" ht="25.5" customHeight="1">
      <c r="A96" s="2" t="str">
        <f>=HYPERLINK("https://seer-group.feishu.cn/wiki/VWJgwNavWifCpokZPf8cLkHDnhh", "抢占控制权")</f>
        <v>抢占控制权</v>
      </c>
      <c r="B96">
        <v>4005</v>
      </c>
      <c r="C96" t="inlineStr">
        <is>
          <t>robot_config_lock_req</t>
        </is>
      </c>
      <c r="D96" t="inlineStr">
        <is>
          <t>抢占控制权</t>
        </is>
      </c>
      <c r="E96"/>
      <c r="F96" t="inlineStr">
        <is>
          <t>机器人配置API（端口：19207）</t>
        </is>
      </c>
    </row>
    <row r="97" ht="25.5" customHeight="1">
      <c r="A97" s="2" t="str">
        <f>=HYPERLINK("https://seer-group.feishu.cn/wiki/NzRYwlmiIi0uJsk0Fg1cKmcXnxd", "释放控制权")</f>
        <v>释放控制权</v>
      </c>
      <c r="B97">
        <v>4006</v>
      </c>
      <c r="C97" t="inlineStr">
        <is>
          <t>robot_config_unlock_req</t>
        </is>
      </c>
      <c r="D97" t="inlineStr">
        <is>
          <t>释放控制权</t>
        </is>
      </c>
      <c r="E97"/>
      <c r="F97" t="inlineStr">
        <is>
          <t>机器人配置API（端口：19207）</t>
        </is>
      </c>
    </row>
    <row r="98" ht="25.5" customHeight="1">
      <c r="A98" s="2" t="str">
        <f>=HYPERLINK("https://seer-group.feishu.cn/wiki/Gx68wKy5yif2ZIkbZ89cpAgfn2b", "配置超声")</f>
        <v>配置超声</v>
      </c>
      <c r="B98">
        <v>4130</v>
      </c>
      <c r="C98" t="inlineStr">
        <is>
          <t>robot_config_ultrasonic_req</t>
        </is>
      </c>
      <c r="D98" t="inlineStr">
        <is>
          <t>配置超声</t>
        </is>
      </c>
      <c r="E98"/>
      <c r="F98" t="inlineStr">
        <is>
          <t>机器人配置API（端口：19207）</t>
        </is>
      </c>
    </row>
    <row r="99" ht="25.5" customHeight="1">
      <c r="A99" s="2" t="str">
        <f>=HYPERLINK("https://seer-group.feishu.cn/wiki/VXxOwknITiaxNNkvhPYcNtvUn3b", "清除货物形状")</f>
        <v>清除货物形状</v>
      </c>
      <c r="B99">
        <v>4356</v>
      </c>
      <c r="C99" t="inlineStr">
        <is>
          <t>robot_config_clear_goodsshape_req</t>
        </is>
      </c>
      <c r="D99" t="inlineStr">
        <is>
          <t>清除货物形状</t>
        </is>
      </c>
      <c r="E99"/>
      <c r="F99" t="inlineStr">
        <is>
          <t>机器人配置API（端口：19207）</t>
        </is>
      </c>
    </row>
    <row r="100" ht="25.5" customHeight="1">
      <c r="A100" s="2" t="str">
        <f>=HYPERLINK("https://seer-group.feishu.cn/wiki/ZikIwRMIaijhYnkWOBFc5zFJnkb", "设置货架描述文件")</f>
        <v>设置货架描述文件</v>
      </c>
      <c r="B100">
        <v>4357</v>
      </c>
      <c r="C100" t="inlineStr">
        <is>
          <t>robot_config_set_shelfshape_req</t>
        </is>
      </c>
      <c r="D100" t="inlineStr">
        <is>
          <t>设置当前使用的货架描述文件</t>
        </is>
      </c>
      <c r="E100"/>
      <c r="F100" t="inlineStr">
        <is>
          <t>机器人配置API（端口：19207）</t>
        </is>
      </c>
    </row>
    <row r="101" ht="25.5" customHeight="1">
      <c r="A101" s="2" t="str">
        <f>=HYPERLINK("https://seer-group.feishu.cn/wiki/B2lOw41fSirqKekkSrPcI8uennT", "配置 GNSS 为 Rover 模式")</f>
        <v>配置 GNSS 为 Rover 模式</v>
      </c>
      <c r="B101">
        <v>4462</v>
      </c>
      <c r="C101" t="inlineStr">
        <is>
          <t>robot_config_set_gnss_rover_req</t>
        </is>
      </c>
      <c r="D101" t="inlineStr">
        <is>
          <t>配置 GNSS 为 Rover 模式</t>
        </is>
      </c>
      <c r="E101"/>
      <c r="F101" t="inlineStr">
        <is>
          <t>机器人配置API（端口：19207）</t>
        </is>
      </c>
    </row>
    <row r="102" ht="25.5" customHeight="1">
      <c r="A102" s="2" t="str">
        <f>=HYPERLINK("https://seer-group.feishu.cn/wiki/XLFewrpF4iWZWgk2O2JcUOgInvb", "配置 GNSS 默认波特率")</f>
        <v>配置 GNSS 默认波特率</v>
      </c>
      <c r="B102">
        <v>4461</v>
      </c>
      <c r="C102" t="inlineStr">
        <is>
          <t>robot_config_set_gnss_baudrate_req</t>
        </is>
      </c>
      <c r="D102" t="inlineStr">
        <is>
          <t>配置 GNSS 默认波特率</t>
        </is>
      </c>
      <c r="E102"/>
      <c r="F102" t="inlineStr">
        <is>
          <t>机器人配置API（端口：19207）</t>
        </is>
      </c>
    </row>
    <row r="103" ht="25.5" customHeight="1">
      <c r="A103" s="2" t="str">
        <f>=HYPERLINK("https://seer-group.feishu.cn/wiki/AFyDwiIp1i2dKckN33Hc7BaEnad", "配置驱动器参数")</f>
        <v>配置驱动器参数</v>
      </c>
      <c r="B103">
        <v>4400</v>
      </c>
      <c r="C103" t="inlineStr">
        <is>
          <t>robot_config_send_canframe_req</t>
        </is>
      </c>
      <c r="D103" t="inlineStr">
        <is>
          <t>配置驱动器参数</t>
        </is>
      </c>
      <c r="E103"/>
      <c r="F103" t="inlineStr">
        <is>
          <t>机器人配置API（端口：19207）</t>
        </is>
      </c>
    </row>
    <row r="104" ht="25.5" customHeight="1">
      <c r="A104" s="2" t="str">
        <f>=HYPERLINK("https://seer-group.feishu.cn/wiki/PW5Ywf0gDiD0QxkkLnWcP9cWnEb", "重置 GNSS 硬件配置")</f>
        <v>重置 GNSS 硬件配置</v>
      </c>
      <c r="B104">
        <v>4460</v>
      </c>
      <c r="C104" t="inlineStr">
        <is>
          <t>robot_config_reset_gnss_req</t>
        </is>
      </c>
      <c r="D104" t="inlineStr">
        <is>
          <t>重置 GNSS 硬件配置</t>
        </is>
      </c>
      <c r="E104"/>
      <c r="F104" t="inlineStr">
        <is>
          <t>机器人配置API（端口：19207）</t>
        </is>
      </c>
    </row>
    <row r="105" ht="25.5" customHeight="1">
      <c r="A105" s="2" t="str">
        <f>=HYPERLINK("https://seer-group.feishu.cn/wiki/FUHQwCWSriB7uQk3jpgcppKVnye", "移除动态障碍物")</f>
        <v>移除动态障碍物</v>
      </c>
      <c r="B105">
        <v>4352</v>
      </c>
      <c r="C105" t="inlineStr">
        <is>
          <t>robot_config_removeobstacle_req</t>
        </is>
      </c>
      <c r="D105" t="inlineStr">
        <is>
          <t>移除动态障碍物</t>
        </is>
      </c>
      <c r="E105"/>
      <c r="F105" t="inlineStr">
        <is>
          <t>机器人配置API（端口：19207）</t>
        </is>
      </c>
    </row>
    <row r="106" ht="25.5" customHeight="1">
      <c r="A106" s="2" t="str">
        <f>=HYPERLINK("https://seer-group.feishu.cn/wiki/TsgowkwkUifHZtkXJyUcBC17n9f", "删除机器人上的地图")</f>
        <v>删除机器人上的地图</v>
      </c>
      <c r="B106">
        <v>4012</v>
      </c>
      <c r="C106" t="inlineStr">
        <is>
          <t>robot_config_removemap_req</t>
        </is>
      </c>
      <c r="D106" t="inlineStr">
        <is>
          <t>删除机器人上的地图</t>
        </is>
      </c>
      <c r="E106" t="inlineStr">
        <is>
          <t>地图</t>
        </is>
      </c>
      <c r="F106" t="inlineStr">
        <is>
          <t>机器人配置API（端口：19207）</t>
        </is>
      </c>
    </row>
    <row r="107" ht="25.5" customHeight="1">
      <c r="A107" s="2" t="str">
        <f>=HYPERLINK("https://seer-group.feishu.cn/wiki/LjhuwrhTQiRq5EkFDoYc2FLBnPb", "临时修改机器人参数")</f>
        <v>临时修改机器人参数</v>
      </c>
      <c r="B107">
        <v>4100</v>
      </c>
      <c r="C107" t="inlineStr">
        <is>
          <t>robot_config_setparams_req</t>
        </is>
      </c>
      <c r="D107" t="inlineStr">
        <is>
          <t>临时修改机器人参数</t>
        </is>
      </c>
      <c r="E107"/>
      <c r="F107" t="inlineStr">
        <is>
          <t>机器人配置API（端口：19207）</t>
        </is>
      </c>
    </row>
    <row r="108" ht="25.5" customHeight="1">
      <c r="A108" s="2" t="str">
        <f>=HYPERLINK("https://seer-group.feishu.cn/wiki/AiJqw0eXDiY9ffkFzuPcQZUyn1d", "永久修改机器人参数")</f>
        <v>永久修改机器人参数</v>
      </c>
      <c r="B108">
        <v>4101</v>
      </c>
      <c r="C108" t="inlineStr">
        <is>
          <t>robot_config_saveparams_req</t>
        </is>
      </c>
      <c r="D108" t="inlineStr">
        <is>
          <t>永久修改机器人参数</t>
        </is>
      </c>
      <c r="E108"/>
      <c r="F108" t="inlineStr">
        <is>
          <t>机器人配置API（端口：19207）</t>
        </is>
      </c>
    </row>
    <row r="109" ht="25.5" customHeight="1">
      <c r="A109" s="2" t="str">
        <f>=HYPERLINK("https://seer-group.feishu.cn/wiki/NIG0wAa3EiuWZukmIl3ccPPtnBh", "恢复机器人参数为默认值")</f>
        <v>恢复机器人参数为默认值</v>
      </c>
      <c r="B109">
        <v>4102</v>
      </c>
      <c r="C109" t="inlineStr">
        <is>
          <t>robot_config_reloadparams_req</t>
        </is>
      </c>
      <c r="D109" t="inlineStr">
        <is>
          <t>恢复机器人参数为默认值</t>
        </is>
      </c>
      <c r="E109"/>
      <c r="F109" t="inlineStr">
        <is>
          <t>机器人配置API（端口：19207）</t>
        </is>
      </c>
    </row>
    <row r="110" ht="25.5" customHeight="1">
      <c r="A110" s="2" t="str">
        <f>=HYPERLINK("https://seer-group.feishu.cn/wiki/X1vJwKTIciJp4WkRzjJc07Lcnnf", "配置机器人推送端口")</f>
        <v>配置机器人推送端口</v>
      </c>
      <c r="B110">
        <v>4091</v>
      </c>
      <c r="C110" t="inlineStr">
        <is>
          <t>robot_config_push_req</t>
        </is>
      </c>
      <c r="D110" t="inlineStr">
        <is>
          <t>配置推送端口 19301</t>
        </is>
      </c>
      <c r="E110"/>
      <c r="F110" t="inlineStr">
        <is>
          <t>机器人配置API（端口：19207）</t>
        </is>
      </c>
    </row>
    <row r="111" ht="25.5" customHeight="1">
      <c r="A111" s="2" t="str">
        <f>=HYPERLINK("https://seer-group.feishu.cn/wiki/VfAiwKogMiMywpkbPj8clznSnZg", "电机清错")</f>
        <v>电机清错</v>
      </c>
      <c r="B111">
        <v>4151</v>
      </c>
      <c r="C111" t="inlineStr">
        <is>
          <t>robot_config_motor_clear_fault_req</t>
        </is>
      </c>
      <c r="D111" t="inlineStr">
        <is>
          <t>电机清错</t>
        </is>
      </c>
      <c r="E111"/>
      <c r="F111" t="inlineStr">
        <is>
          <t>机器人配置API（端口：19207）</t>
        </is>
      </c>
    </row>
    <row r="112" ht="25.5" customHeight="1">
      <c r="A112" s="2" t="str">
        <f>=HYPERLINK("https://seer-group.feishu.cn/wiki/NAWjwbl50ikCfAka3kXcQcaAnUg", "电机标零")</f>
        <v>电机标零</v>
      </c>
      <c r="B112">
        <v>4150</v>
      </c>
      <c r="C112" t="inlineStr">
        <is>
          <t>robot_config_motor_calib_req</t>
        </is>
      </c>
      <c r="D112" t="inlineStr">
        <is>
          <t>电机标零</t>
        </is>
      </c>
      <c r="E112"/>
      <c r="F112" t="inlineStr">
        <is>
          <t>机器人配置API（端口：19207）</t>
        </is>
      </c>
    </row>
    <row r="113" ht="25.5" customHeight="1">
      <c r="A113" s="2" t="str">
        <f>=HYPERLINK("https://seer-group.feishu.cn/wiki/MPzKwfCQvizVS7kV9b3cvadlnUg", "上传模型文件到机器人")</f>
        <v>上传模型文件到机器人</v>
      </c>
      <c r="B113">
        <v>4200</v>
      </c>
      <c r="C113" t="inlineStr">
        <is>
          <t>robot_config_model_req</t>
        </is>
      </c>
      <c r="D113" t="inlineStr">
        <is>
          <t>上传模型文件到机器人</t>
        </is>
      </c>
      <c r="E113"/>
      <c r="F113" t="inlineStr">
        <is>
          <t>机器人配置API（端口：19207）</t>
        </is>
      </c>
    </row>
    <row r="114" ht="25.5" customHeight="1">
      <c r="A114" s="2" t="str">
        <f>=HYPERLINK("https://seer-group.feishu.cn/wiki/MQSKwwKIti5Yl4k6LyLcSkZbnXg", "从机器人下载地图")</f>
        <v>从机器人下载地图</v>
      </c>
      <c r="B114">
        <v>4011</v>
      </c>
      <c r="C114" t="inlineStr">
        <is>
          <t>robot_config_downloadmap_req</t>
        </is>
      </c>
      <c r="D114" t="inlineStr">
        <is>
          <t>从机器人下载地图</t>
        </is>
      </c>
      <c r="E114" t="inlineStr">
        <is>
          <t>地图</t>
        </is>
      </c>
      <c r="F114" t="inlineStr">
        <is>
          <t>机器人配置API（端口：19207）</t>
        </is>
      </c>
    </row>
    <row r="115" ht="25.5" customHeight="1">
      <c r="A115" s="2" t="str">
        <f>=HYPERLINK("https://seer-group.feishu.cn/wiki/I1ldwcfj8iKD15k1d62czZZTnvd", "上传机器人脚本")</f>
        <v>上传机器人脚本</v>
      </c>
      <c r="B115">
        <v>4021</v>
      </c>
      <c r="C115" t="inlineStr">
        <is>
          <t>robot_config_uploadscript_req</t>
        </is>
      </c>
      <c r="D115" t="inlineStr">
        <is>
          <t>上传机器人脚本</t>
        </is>
      </c>
      <c r="E115" t="inlineStr">
        <is>
          <t>脚本</t>
        </is>
      </c>
      <c r="F115" t="inlineStr">
        <is>
          <t>机器人配置API（端口：19207）</t>
        </is>
      </c>
    </row>
    <row r="116" ht="25.5" customHeight="1">
      <c r="A116" s="2" t="str">
        <f>=HYPERLINK("https://seer-group.feishu.cn/wiki/G2zMw8dI8iMvqRkzxgZcUTY5nlV", "下载机器人脚本")</f>
        <v>下载机器人脚本</v>
      </c>
      <c r="B116">
        <v>4022</v>
      </c>
      <c r="C116" t="inlineStr">
        <is>
          <t>robot_config_downloadscript_req</t>
        </is>
      </c>
      <c r="D116" t="inlineStr">
        <is>
          <t>下载机器人脚本</t>
        </is>
      </c>
      <c r="E116" t="inlineStr">
        <is>
          <t>脚本</t>
        </is>
      </c>
      <c r="F116" t="inlineStr">
        <is>
          <t>机器人配置API（端口：19207）</t>
        </is>
      </c>
    </row>
    <row r="117" ht="25.5" customHeight="1">
      <c r="A117" s="2" t="str">
        <f>=HYPERLINK("https://seer-group.feishu.cn/wiki/WfofwvrcvieYFOkKeChcSmLDnWg", "删除机器人脚本")</f>
        <v>删除机器人脚本</v>
      </c>
      <c r="B117">
        <v>4023</v>
      </c>
      <c r="C117" t="inlineStr">
        <is>
          <t>robot_config_removescript_req</t>
        </is>
      </c>
      <c r="D117" t="inlineStr">
        <is>
          <t>删除机器人脚本</t>
        </is>
      </c>
      <c r="E117" t="inlineStr">
        <is>
          <t>脚本</t>
        </is>
      </c>
      <c r="F117" t="inlineStr">
        <is>
          <t>机器人配置API（端口：19207）</t>
        </is>
      </c>
    </row>
    <row r="118" ht="25.5" customHeight="1">
      <c r="A118" s="2" t="str">
        <f>=HYPERLINK("https://seer-group.feishu.cn/wiki/PpMjw1r8UiIX4rkSM1XcyFpynYg", "3D二维码建图")</f>
        <v>3D二维码建图</v>
      </c>
      <c r="B118">
        <v>4353</v>
      </c>
      <c r="C118" t="inlineStr">
        <is>
          <t>robot_config_3dtagmapping_req</t>
        </is>
      </c>
      <c r="D118" t="inlineStr">
        <is>
          <t>3D二维码建图</t>
        </is>
      </c>
      <c r="E118" t="inlineStr">
        <is>
          <t>地图</t>
        </is>
      </c>
      <c r="F118" t="inlineStr">
        <is>
          <t>机器人配置API（端口：19207）</t>
        </is>
      </c>
    </row>
    <row r="119" ht="25.5" customHeight="1">
      <c r="A119" s="2" t="str">
        <f>=HYPERLINK("https://seer-group.feishu.cn/wiki/RCwZwlornip9UTk1HNOcwzqGn8e", "配置 DI")</f>
        <v>配置 DI</v>
      </c>
      <c r="B119">
        <v>4140</v>
      </c>
      <c r="C119" t="inlineStr">
        <is>
          <t>robot_config_DI_req</t>
        </is>
      </c>
      <c r="D119" t="inlineStr">
        <is>
          <t>配置 DI</t>
        </is>
      </c>
      <c r="E119"/>
      <c r="F119" t="inlineStr">
        <is>
          <t>机器人配置API（端口：19207）</t>
        </is>
      </c>
    </row>
    <row r="120" ht="25.5" customHeight="1">
      <c r="A120" s="2" t="str">
        <f>=HYPERLINK("https://seer-group.feishu.cn/wiki/AkurwEetkifxLuk7O2YcR0G8nSe", "设置标定过程数据")</f>
        <v>设置标定过程数据</v>
      </c>
      <c r="B120">
        <v>4201</v>
      </c>
      <c r="C120" t="inlineStr">
        <is>
          <t>ROBOT_CONFIG_CALIB_PUSH_DATA_REQ</t>
        </is>
      </c>
      <c r="D120" t="inlineStr">
        <is>
          <t>设置标定过程数据</t>
        </is>
      </c>
      <c r="E120"/>
      <c r="F120" t="inlineStr">
        <is>
          <t>机器人配置API（端口：19207）</t>
        </is>
      </c>
    </row>
    <row r="121" ht="25.5" customHeight="1">
      <c r="A121" s="2" t="str">
        <f>=HYPERLINK("https://seer-group.feishu.cn/wiki/IFbwwN1MHixR3bkhZpPcdw86nEh", "确认标定数据")</f>
        <v>确认标定数据</v>
      </c>
      <c r="B121">
        <v>4202</v>
      </c>
      <c r="C121" t="inlineStr">
        <is>
          <t>ROBOT_CONFIG_CALIB_CONFIRM_REQ</t>
        </is>
      </c>
      <c r="D121" t="inlineStr">
        <is>
          <t>确认标定数据</t>
        </is>
      </c>
      <c r="E121"/>
      <c r="F121" t="inlineStr">
        <is>
          <t>机器人配置API（端口：19207）</t>
        </is>
      </c>
    </row>
    <row r="122" ht="25.5" customHeight="1">
      <c r="A122" s="2" t="str">
        <f>=HYPERLINK("https://seer-group.feishu.cn/wiki/MpAvwa0XPiYyBfkrzV3c3mornuc", "根据标定类型清除标定数据")</f>
        <v>根据标定类型清除标定数据</v>
      </c>
      <c r="B122">
        <v>4203</v>
      </c>
      <c r="C122" t="inlineStr">
        <is>
          <t>ROBOT_CONFIG_CALIB_CLEAR_REQ</t>
        </is>
      </c>
      <c r="D122" t="inlineStr">
        <is>
          <t>根据标定类型清除标定数据</t>
        </is>
      </c>
      <c r="E122"/>
      <c r="F122" t="inlineStr">
        <is>
          <t>机器人配置API（端口：19207）</t>
        </is>
      </c>
    </row>
    <row r="123" ht="25.5" customHeight="1">
      <c r="A123" s="2" t="str">
        <f>=HYPERLINK("https://seer-group.feishu.cn/wiki/U4zcwBzXyikYL0k2T2ecvtndnrg", "清空 robot.cp 文件")</f>
        <v>清空 robot.cp 文件</v>
      </c>
      <c r="B123">
        <v>4209</v>
      </c>
      <c r="C123" t="inlineStr">
        <is>
          <t>ROBOT_CONFIG_CALIB_CLEAR_ALL_REQ</t>
        </is>
      </c>
      <c r="D123" t="inlineStr">
        <is>
          <t>清空 robot.cp 文件</t>
        </is>
      </c>
      <c r="E123"/>
      <c r="F123" t="inlineStr">
        <is>
          <t>机器人配置API（端口：19207）</t>
        </is>
      </c>
    </row>
    <row r="124" ht="25.5" customHeight="1">
      <c r="A124" s="2" t="str">
        <f>=HYPERLINK("https://seer-group.feishu.cn/wiki/UzEWwJaYziSUvwkL09LceHGNnBd", "设置第三方 Warning")</f>
        <v>设置第三方 Warning</v>
      </c>
      <c r="B124">
        <v>4802</v>
      </c>
      <c r="C124" t="inlineStr">
        <is>
          <t>robot_config_setwarning_req</t>
        </is>
      </c>
      <c r="D124" t="inlineStr">
        <is>
          <t>设置第三方 Warning</t>
        </is>
      </c>
      <c r="E124"/>
      <c r="F124" t="inlineStr">
        <is>
          <t>机器人配置API（端口：19207）</t>
        </is>
      </c>
    </row>
    <row r="125" ht="25.5" customHeight="1">
      <c r="A125" s="2" t="str">
        <f>=HYPERLINK("https://seer-group.feishu.cn/wiki/ILRgwFwvuiJXqOkKFsTcDrHDnEh", "清除第三方 Warning")</f>
        <v>清除第三方 Warning</v>
      </c>
      <c r="B125">
        <v>4803</v>
      </c>
      <c r="C125" t="inlineStr">
        <is>
          <t>robot_config_clearwarning_req</t>
        </is>
      </c>
      <c r="D125" t="inlineStr">
        <is>
          <t>清除第三方 Warning</t>
        </is>
      </c>
      <c r="E125"/>
      <c r="F125" t="inlineStr">
        <is>
          <t>机器人配置API（端口：19207）</t>
        </is>
      </c>
    </row>
    <row r="126" ht="25.5" customHeight="1">
      <c r="A126" s="2" t="str">
        <f>=HYPERLINK("https://seer-group.feishu.cn/wiki/B7Bhw11kriUxLzkbl2UcxRLsnee", "设置第三方 Error")</f>
        <v>设置第三方 Error</v>
      </c>
      <c r="B126">
        <v>4800</v>
      </c>
      <c r="C126" t="inlineStr">
        <is>
          <t>robot_config_seterror_req</t>
        </is>
      </c>
      <c r="D126" t="inlineStr">
        <is>
          <t>设置第三方 Error</t>
        </is>
      </c>
      <c r="E126"/>
      <c r="F126" t="inlineStr">
        <is>
          <t>机器人配置API（端口：19207）</t>
        </is>
      </c>
    </row>
    <row r="127" ht="25.5" customHeight="1">
      <c r="A127" s="2" t="str">
        <f>=HYPERLINK("https://seer-group.feishu.cn/wiki/EYhVwSLvCii9BnkojifcCKD4nef", "清除机器人当前所有报错")</f>
        <v>清除机器人当前所有报错</v>
      </c>
      <c r="B127">
        <v>4009</v>
      </c>
      <c r="C127" t="inlineStr">
        <is>
          <t>robot_config_clearallerrors_req</t>
        </is>
      </c>
      <c r="D127" t="inlineStr">
        <is>
          <t>清除机器人当前所有报错</t>
        </is>
      </c>
      <c r="E127"/>
      <c r="F127" t="inlineStr">
        <is>
          <t>机器人配置API（端口：19207）</t>
        </is>
      </c>
    </row>
    <row r="128" ht="25.5" customHeight="1">
      <c r="A128" s="2" t="str">
        <f>=HYPERLINK("https://seer-group.feishu.cn/wiki/HDLpwwypsi5heIk4fnjcnmovnte", "运行信息复位")</f>
        <v>运行信息复位</v>
      </c>
      <c r="B128">
        <v>4450</v>
      </c>
      <c r="C128" t="inlineStr">
        <is>
          <t>robot_config_clear_odo_req</t>
        </is>
      </c>
      <c r="D128" t="inlineStr">
        <is>
          <t>运行信息复位</t>
        </is>
      </c>
      <c r="E128"/>
      <c r="F128" t="inlineStr">
        <is>
          <t>机器人配置API（端口：19207）</t>
        </is>
      </c>
    </row>
    <row r="129" ht="25.5" customHeight="1">
      <c r="A129" s="2" t="str">
        <f>=HYPERLINK("https://seer-group.feishu.cn/wiki/FeiuwW3Cki4ZeXk3QVbcyDgXnzc", "清除货架描述文件")</f>
        <v>清除货架描述文件</v>
      </c>
      <c r="B129">
        <v>4356</v>
      </c>
      <c r="C129" t="inlineStr">
        <is>
          <t>robot_config_clear_goodsshape_req</t>
        </is>
      </c>
      <c r="D129" t="inlineStr">
        <is>
          <t>清除货架描述文件</t>
        </is>
      </c>
      <c r="E129"/>
      <c r="F129" t="inlineStr">
        <is>
          <t>机器人配置API（端口：19207）</t>
        </is>
      </c>
    </row>
    <row r="130" ht="25.5" customHeight="1">
      <c r="A130" s="2" t="str">
        <f>=HYPERLINK("https://seer-group.feishu.cn/wiki/Xu60wzD6hit0nSkVYQFcbGqOnce", "清除第三方 Error")</f>
        <v>清除第三方 Error</v>
      </c>
      <c r="B130">
        <v>4801</v>
      </c>
      <c r="C130" t="inlineStr">
        <is>
          <t>robot_config_clearerror_req</t>
        </is>
      </c>
      <c r="D130" t="inlineStr">
        <is>
          <t>清除第三方 Error</t>
        </is>
      </c>
      <c r="E130"/>
      <c r="F130" t="inlineStr">
        <is>
          <t>机器人配置API（端口：19207）</t>
        </is>
      </c>
    </row>
    <row r="131" ht="25.5" customHeight="1">
      <c r="A131" s="2" t="str">
        <f>=HYPERLINK("https://seer-group.feishu.cn/wiki/FBZywNwfHiKofBkk4AbcR3fDnPd", "插入动态障碍物(机器人坐标系)")</f>
        <v>插入动态障碍物(机器人坐标系)</v>
      </c>
      <c r="B131">
        <v>4350</v>
      </c>
      <c r="C131" t="inlineStr">
        <is>
          <t>robot_config_addobstacle_req</t>
        </is>
      </c>
      <c r="D131" t="inlineStr">
        <is>
          <t>插入动态障碍物(机器人坐标系)</t>
        </is>
      </c>
      <c r="E131"/>
      <c r="F131" t="inlineStr">
        <is>
          <t>机器人配置API（端口：19207）</t>
        </is>
      </c>
    </row>
    <row r="132" ht="25.5" customHeight="1">
      <c r="A132" s="2" t="str">
        <f>=HYPERLINK("https://seer-group.feishu.cn/wiki/XncUwcLXDi1mKDkqKcTcx2d3nyb", "插入动态障碍物(世界坐标系)")</f>
        <v>插入动态障碍物(世界坐标系)</v>
      </c>
      <c r="B132">
        <v>4351</v>
      </c>
      <c r="C132" t="inlineStr">
        <is>
          <t>robot_config_addgobstacle_req</t>
        </is>
      </c>
      <c r="D132" t="inlineStr">
        <is>
          <t>插入动态障碍物(世界坐标系)</t>
        </is>
      </c>
      <c r="E132"/>
      <c r="F132" t="inlineStr">
        <is>
          <t>机器人配置API（端口：19207）</t>
        </is>
      </c>
    </row>
    <row r="133" ht="25.5" customHeight="1">
      <c r="A133" s="2" t="str">
        <f>=HYPERLINK("https://seer-group.feishu.cn/wiki/QZnOwZPgCijpaukEYN4cE2jbnue", "上传手柄自定义绑定事件")</f>
        <v>上传手柄自定义绑定事件</v>
      </c>
      <c r="B133">
        <v>4470</v>
      </c>
      <c r="C133" t="inlineStr">
        <is>
          <t>robot_config_joystick_bind_keymap_req</t>
        </is>
      </c>
      <c r="D133" t="inlineStr">
        <is>
          <t>上传手柄自定义绑定事件</t>
        </is>
      </c>
      <c r="E133"/>
      <c r="F133" t="inlineStr">
        <is>
          <t>机器人配置API（端口：19207）</t>
        </is>
      </c>
    </row>
    <row r="134" ht="25.5" customHeight="1">
      <c r="A134" s="2" t="str">
        <f>=HYPERLINK("https://seer-group.feishu.cn/wiki/Q063w4xRIildShk7Zf8cxQAZnPh", "其他API（端口：19210）")</f>
        <v>其他API（端口：19210）</v>
      </c>
      <c r="B134"/>
      <c r="C134"/>
      <c r="D134"/>
      <c r="E134"/>
      <c r="F134"/>
    </row>
    <row r="135" ht="25.5" customHeight="1">
      <c r="A135" s="2" t="str">
        <f>=HYPERLINK("https://seer-group.feishu.cn/wiki/YyijwGMEfimt2fkxOdXc2djUnxd", "下载音频文件")</f>
        <v>下载音频文件</v>
      </c>
      <c r="B135">
        <v>6031</v>
      </c>
      <c r="C135" t="inlineStr">
        <is>
          <t>robot_other_download_audio_req</t>
        </is>
      </c>
      <c r="D135" t="inlineStr">
        <is>
          <t>下载音频文件</t>
        </is>
      </c>
      <c r="E135"/>
      <c r="F135" t="inlineStr">
        <is>
          <t>其他API（端口：19210）</t>
        </is>
      </c>
    </row>
    <row r="136" ht="25.5" customHeight="1">
      <c r="A136" s="2" t="str">
        <f>=HYPERLINK("https://seer-group.feishu.cn/wiki/TxcpwPnixiKMdMkyLm6cBRr4n9s", "上传音频文件")</f>
        <v>上传音频文件</v>
      </c>
      <c r="B136">
        <v>6030</v>
      </c>
      <c r="C136" t="inlineStr">
        <is>
          <t>robot_other_upload_audio_req</t>
        </is>
      </c>
      <c r="D136" t="inlineStr">
        <is>
          <t>上传音频文件</t>
        </is>
      </c>
      <c r="E136"/>
      <c r="F136" t="inlineStr">
        <is>
          <t>其他API（端口：19210）</t>
        </is>
      </c>
    </row>
    <row r="137" ht="25.5" customHeight="1">
      <c r="A137" s="2" t="str">
        <f>=HYPERLINK("https://seer-group.feishu.cn/wiki/OTSjwal9YiPLWskulsTcqNPgnOe", "写入modbus数据")</f>
        <v>写入modbus数据</v>
      </c>
      <c r="B137">
        <v>6086</v>
      </c>
      <c r="C137" t="inlineStr">
        <is>
          <t>ROBOT_OTHER_SET_MODBUS_REQ</t>
        </is>
      </c>
      <c r="D137" t="inlineStr">
        <is>
          <t>写入modbus数据</t>
        </is>
      </c>
      <c r="E137"/>
      <c r="F137" t="inlineStr">
        <is>
          <t>其他API（端口：19210）</t>
        </is>
      </c>
    </row>
    <row r="138" ht="25.5" customHeight="1">
      <c r="A138" s="2" t="str">
        <f>=HYPERLINK("https://seer-group.feishu.cn/wiki/JGPkwD6cFi2kdTkuiEWciRIFnmd", "写入外设用户自定义数据")</f>
        <v>写入外设用户自定义数据</v>
      </c>
      <c r="B138">
        <v>6049</v>
      </c>
      <c r="C138" t="inlineStr">
        <is>
          <t>robot_other_write_peripheral_data_req</t>
        </is>
      </c>
      <c r="D138" t="inlineStr">
        <is>
          <t>写入外设用户自定义数据（对于hook、jack、roller）三类外设</t>
        </is>
      </c>
      <c r="E138"/>
      <c r="F138" t="inlineStr">
        <is>
          <t>其他API（端口：19210）</t>
        </is>
      </c>
    </row>
    <row r="139" ht="25.5" customHeight="1">
      <c r="A139" s="2" t="str">
        <f>=HYPERLINK("https://seer-group.feishu.cn/wiki/ATbDwtBYPiL7AIkMt5scgZG8nve", "更新透传数据")</f>
        <v>更新透传数据</v>
      </c>
      <c r="B139">
        <v>6900</v>
      </c>
      <c r="C139" t="inlineStr">
        <is>
          <t>robot_other_update_transparent_data_req</t>
        </is>
      </c>
      <c r="D139" t="inlineStr">
        <is>
          <t>更新透传数据</t>
        </is>
      </c>
      <c r="E139"/>
      <c r="F139" t="inlineStr">
        <is>
          <t>其他API（端口：19210）</t>
        </is>
      </c>
    </row>
    <row r="140" ht="25.5" customHeight="1">
      <c r="A140" s="2" t="str">
        <f>=HYPERLINK("https://seer-group.feishu.cn/wiki/K0pFw8pdpioBcpk8koTc28FEnMh", "库位检测")</f>
        <v>库位检测</v>
      </c>
      <c r="B140">
        <v>6901</v>
      </c>
      <c r="C140" t="inlineStr">
        <is>
          <t>robot_other_bin_detect_req</t>
        </is>
      </c>
      <c r="D140" t="inlineStr">
        <is>
          <t>触发一次库位检测</t>
        </is>
      </c>
      <c r="E140"/>
      <c r="F140" t="inlineStr">
        <is>
          <t>其他API（端口：19210）</t>
        </is>
      </c>
    </row>
    <row r="141" ht="25.5" customHeight="1">
      <c r="A141" s="2" t="str">
        <f>=HYPERLINK("https://seer-group.feishu.cn/wiki/I2c0wGGUli2Dw2k6AmqcMsnynY4", "停止货叉")</f>
        <v>停止货叉</v>
      </c>
      <c r="B141">
        <v>6041</v>
      </c>
      <c r="C141" t="inlineStr">
        <is>
          <t>robot_other_stop_fork_req</t>
        </is>
      </c>
      <c r="D141" t="inlineStr">
        <is>
          <t>停止货叉</t>
        </is>
      </c>
      <c r="E141"/>
      <c r="F141" t="inlineStr">
        <is>
          <t>其他API（端口：19210）</t>
        </is>
      </c>
    </row>
    <row r="142" ht="25.5" customHeight="1">
      <c r="A142" s="2" t="str">
        <f>=HYPERLINK("https://seer-group.feishu.cn/wiki/CvmcwUk0nizqunkZIctcYh1mnyb", "停止播放音频")</f>
        <v>停止播放音频</v>
      </c>
      <c r="B142">
        <v>6012</v>
      </c>
      <c r="C142" t="inlineStr">
        <is>
          <t>robot_other_stop_audio_req</t>
        </is>
      </c>
      <c r="D142" t="inlineStr">
        <is>
          <t>停止播放音频</t>
        </is>
      </c>
      <c r="E142"/>
      <c r="F142" t="inlineStr">
        <is>
          <t>其他API（端口：19210）</t>
        </is>
      </c>
    </row>
    <row r="143" ht="25.5" customHeight="1">
      <c r="A143" s="2" t="str">
        <f>=HYPERLINK("https://seer-group.feishu.cn/wiki/AaUYwEZwkiM6CwkM4CWcWSBjn4b", "软急停")</f>
        <v>软急停</v>
      </c>
      <c r="B143">
        <v>6004</v>
      </c>
      <c r="C143" t="inlineStr">
        <is>
          <t>robot_other_softemc_req</t>
        </is>
      </c>
      <c r="D143" t="inlineStr">
        <is>
          <t>软急停</t>
        </is>
      </c>
      <c r="E143"/>
      <c r="F143" t="inlineStr">
        <is>
          <t>其他API（端口：19210）</t>
        </is>
      </c>
    </row>
    <row r="144" ht="25.5" customHeight="1">
      <c r="A144" s="2" t="str">
        <f>=HYPERLINK("https://seer-group.feishu.cn/wiki/D9rHwMprPiFQ1OkcRHKcsKLqnid", "设置虚拟 DI")</f>
        <v>设置虚拟 DI</v>
      </c>
      <c r="B144">
        <v>6020</v>
      </c>
      <c r="C144" t="inlineStr">
        <is>
          <t>robot_other_setvdi_req</t>
        </is>
      </c>
      <c r="D144" t="inlineStr">
        <is>
          <t>设置虚拟 DI</t>
        </is>
      </c>
      <c r="E144"/>
      <c r="F144" t="inlineStr">
        <is>
          <t>其他API（端口：19210）</t>
        </is>
      </c>
    </row>
    <row r="145" ht="25.5" customHeight="1">
      <c r="A145" s="2" t="str">
        <f>=HYPERLINK("https://seer-group.feishu.cn/wiki/Gyq7wkoOFiWSDokta99cfBDYnDc", "设置继电器")</f>
        <v>设置继电器</v>
      </c>
      <c r="B145">
        <v>6003</v>
      </c>
      <c r="C145" t="inlineStr">
        <is>
          <t>robot_other_setrelay_req</t>
        </is>
      </c>
      <c r="D145" t="inlineStr">
        <is>
          <t>设置继电器</t>
        </is>
      </c>
      <c r="E145"/>
      <c r="F145" t="inlineStr">
        <is>
          <t>其他API（端口：19210）</t>
        </is>
      </c>
    </row>
    <row r="146" ht="25.5" customHeight="1">
      <c r="A146" s="2" t="str">
        <f>=HYPERLINK("https://seer-group.feishu.cn/wiki/SwdDwdkkkiaI0KkcPcucN77BnXb", "批量设置 DO")</f>
        <v>批量设置 DO</v>
      </c>
      <c r="B146">
        <v>6002</v>
      </c>
      <c r="C146" t="inlineStr">
        <is>
          <t>robot_other_setdos_req</t>
        </is>
      </c>
      <c r="D146" t="inlineStr">
        <is>
          <t>批量设置 DO</t>
        </is>
      </c>
      <c r="E146"/>
      <c r="F146" t="inlineStr">
        <is>
          <t>其他API（端口：19210）</t>
        </is>
      </c>
    </row>
    <row r="147" ht="25.5" customHeight="1">
      <c r="A147" s="2" t="str">
        <f>=HYPERLINK("https://seer-group.feishu.cn/wiki/QuoQwoDtriUL13khKvjcEZy3nqf", "设置 DO")</f>
        <v>设置 DO</v>
      </c>
      <c r="B147">
        <v>6001</v>
      </c>
      <c r="C147" t="inlineStr">
        <is>
          <t>robot_other_setdo_req</t>
        </is>
      </c>
      <c r="D147" t="inlineStr">
        <is>
          <t>设置 DO</t>
        </is>
      </c>
      <c r="E147"/>
      <c r="F147" t="inlineStr">
        <is>
          <t>其他API（端口：19210）</t>
        </is>
      </c>
    </row>
    <row r="148" ht="25.5" customHeight="1">
      <c r="A148" s="2" t="str">
        <f>=HYPERLINK("https://seer-group.feishu.cn/wiki/Dbwfw8tH3idHTLkkVcEcEqf1nIh", "设置充电继电器")</f>
        <v>设置充电继电器</v>
      </c>
      <c r="B148">
        <v>6005</v>
      </c>
      <c r="C148" t="inlineStr">
        <is>
          <t>robot_other_setchargingrelay_req</t>
        </is>
      </c>
      <c r="D148" t="inlineStr">
        <is>
          <t>设置充电继电器</t>
        </is>
      </c>
      <c r="E148"/>
      <c r="F148" t="inlineStr">
        <is>
          <t>其他API（端口：19210）</t>
        </is>
      </c>
    </row>
    <row r="149" ht="25.5" customHeight="1">
      <c r="A149" s="2" t="str">
        <f>=HYPERLINK("https://seer-group.feishu.cn/wiki/EcnPwsgGHiXcsskJkPvc92rsnuc", "电机使能与去使能")</f>
        <v>电机使能与去使能</v>
      </c>
      <c r="B149">
        <v>6201</v>
      </c>
      <c r="C149" t="inlineStr">
        <is>
          <t>robot_other_set_motor_enable_req</t>
        </is>
      </c>
      <c r="D149" t="inlineStr">
        <is>
          <t>电机使能与去使能</t>
        </is>
      </c>
      <c r="E149"/>
      <c r="F149" t="inlineStr">
        <is>
          <t>其他API（端口：19210）</t>
        </is>
      </c>
    </row>
    <row r="150" ht="25.5" customHeight="1">
      <c r="A150" s="2" t="str">
        <f>=HYPERLINK("https://seer-group.feishu.cn/wiki/A5R4wWc7fizkykklRU5c5yN7nXd", "设置货叉高度")</f>
        <v>设置货叉高度</v>
      </c>
      <c r="B150">
        <v>6040</v>
      </c>
      <c r="C150" t="inlineStr">
        <is>
          <t>robot_other_set_fork_height_req</t>
        </is>
      </c>
      <c r="D150" t="inlineStr">
        <is>
          <t>设置货叉高度</t>
        </is>
      </c>
      <c r="E150"/>
      <c r="F150" t="inlineStr">
        <is>
          <t>其他API（端口：19210）</t>
        </is>
      </c>
    </row>
    <row r="151" ht="25.5" customHeight="1">
      <c r="A151" s="2" t="str">
        <f>=HYPERLINK("https://seer-group.feishu.cn/wiki/U3Tcw1OS5iWiCSk9c4CcumZHnCf", "辊筒(皮带)停止")</f>
        <v>辊筒(皮带)停止</v>
      </c>
      <c r="B151">
        <v>6067</v>
      </c>
      <c r="C151" t="inlineStr">
        <is>
          <t>robot_other_roller_stop_req</t>
        </is>
      </c>
      <c r="D151" t="inlineStr">
        <is>
          <t>辊筒(皮带)停止</t>
        </is>
      </c>
      <c r="E151"/>
      <c r="F151" t="inlineStr">
        <is>
          <t>其他API（端口：19210）</t>
        </is>
      </c>
    </row>
    <row r="152" ht="25.5" customHeight="1">
      <c r="A152" s="2" t="str">
        <f>=HYPERLINK("https://seer-group.feishu.cn/wiki/Y53vwtDp3ifY75kk2Occu57gnwf", "辊筒(皮带)左下料")</f>
        <v>辊筒(皮带)左下料</v>
      </c>
      <c r="B152">
        <v>6062</v>
      </c>
      <c r="C152" t="inlineStr">
        <is>
          <t>robot_other_roller_left_unload_req</t>
        </is>
      </c>
      <c r="D152" t="inlineStr">
        <is>
          <t>辊筒(皮带)左下料</t>
        </is>
      </c>
      <c r="E152"/>
      <c r="F152" t="inlineStr">
        <is>
          <t>其他API（端口：19210）</t>
        </is>
      </c>
    </row>
    <row r="153" ht="25.5" customHeight="1">
      <c r="A153" s="2" t="str">
        <f>=HYPERLINK("https://seer-group.feishu.cn/wiki/MLUbwPmwCijZlkkrN1kcwYSmnrc", "辊筒(皮带)右下料")</f>
        <v>辊筒(皮带)右下料</v>
      </c>
      <c r="B153">
        <v>6064</v>
      </c>
      <c r="C153" t="inlineStr">
        <is>
          <t>robot_other_roller_right_unload_req</t>
        </is>
      </c>
      <c r="D153" t="inlineStr">
        <is>
          <t>辊筒(皮带)右下料</t>
        </is>
      </c>
      <c r="E153"/>
      <c r="F153" t="inlineStr">
        <is>
          <t>其他API（端口：19210）</t>
        </is>
      </c>
    </row>
    <row r="154" ht="25.5" customHeight="1">
      <c r="A154" s="2" t="str">
        <f>=HYPERLINK("https://seer-group.feishu.cn/wiki/KRpTwBxQBiGZqfkS4cwcEPdNnQh", "辊筒(皮带)向右滚动")</f>
        <v>辊筒(皮带)向右滚动</v>
      </c>
      <c r="B154">
        <v>6054</v>
      </c>
      <c r="C154" t="inlineStr">
        <is>
          <t>robot_other_roller_right_roll_req</t>
        </is>
      </c>
      <c r="D154" t="inlineStr">
        <is>
          <t>辊筒(皮带)向右滚动</t>
        </is>
      </c>
      <c r="E154"/>
      <c r="F154" t="inlineStr">
        <is>
          <t>其他API（端口：19210）</t>
        </is>
      </c>
    </row>
    <row r="155" ht="25.5" customHeight="1">
      <c r="A155" s="2" t="str">
        <f>=HYPERLINK("https://seer-group.feishu.cn/wiki/CWAyw7hsnidOjlkYzpHcxCeanie", "辊筒(皮带)右预上料")</f>
        <v>辊筒(皮带)右预上料</v>
      </c>
      <c r="B155">
        <v>6066</v>
      </c>
      <c r="C155" t="inlineStr">
        <is>
          <t>robot_other_roller_right_pre_load_req</t>
        </is>
      </c>
      <c r="D155" t="inlineStr">
        <is>
          <t>辊筒(皮带)右预上料</t>
        </is>
      </c>
      <c r="E155"/>
      <c r="F155" t="inlineStr">
        <is>
          <t>其他API（端口：19210）</t>
        </is>
      </c>
    </row>
    <row r="156" ht="25.5" customHeight="1">
      <c r="A156" s="2" t="str">
        <f>=HYPERLINK("https://seer-group.feishu.cn/wiki/AHXNwHjEgiyKUHkTaLHc7ynenUf", "辊筒(皮带)右上料")</f>
        <v>辊筒(皮带)右上料</v>
      </c>
      <c r="B156">
        <v>6063</v>
      </c>
      <c r="C156" t="inlineStr">
        <is>
          <t>robot_other_roller_right_load_req</t>
        </is>
      </c>
      <c r="D156" t="inlineStr">
        <is>
          <t>辊筒(皮带)右上料</t>
        </is>
      </c>
      <c r="E156"/>
      <c r="F156" t="inlineStr">
        <is>
          <t>其他API（端口：19210）</t>
        </is>
      </c>
    </row>
    <row r="157" ht="25.5" customHeight="1">
      <c r="A157" s="2" t="str">
        <f>=HYPERLINK("https://seer-group.feishu.cn/wiki/EsuLw4Ld0iKAyxk0Go3cYkDEnWb", "辊筒(皮带)向左滚动")</f>
        <v>辊筒(皮带)向左滚动</v>
      </c>
      <c r="B157">
        <v>6053</v>
      </c>
      <c r="C157" t="inlineStr">
        <is>
          <t>robot_other_roller_left_roll_req</t>
        </is>
      </c>
      <c r="D157" t="inlineStr">
        <is>
          <t>辊筒(皮带)向左滚动</t>
        </is>
      </c>
      <c r="E157"/>
      <c r="F157" t="inlineStr">
        <is>
          <t>其他API（端口：19210）</t>
        </is>
      </c>
    </row>
    <row r="158" ht="25.5" customHeight="1">
      <c r="A158" s="2" t="str">
        <f>=HYPERLINK("https://seer-group.feishu.cn/wiki/UJMtwa9qViyOmvkRp9ccvBimnmh", "辊筒(皮带)左右反向")</f>
        <v>辊筒(皮带)左右反向</v>
      </c>
      <c r="B158">
        <v>6068</v>
      </c>
      <c r="C158" t="inlineStr">
        <is>
          <t>robot_other_roller_left_right_inverse_req</t>
        </is>
      </c>
      <c r="D158" t="inlineStr">
        <is>
          <t>辊筒(皮带)左右反向</t>
        </is>
      </c>
      <c r="E158"/>
      <c r="F158" t="inlineStr">
        <is>
          <t>其他API（端口：19210）</t>
        </is>
      </c>
    </row>
    <row r="159" ht="25.5" customHeight="1">
      <c r="A159" s="2" t="str">
        <f>=HYPERLINK("https://seer-group.feishu.cn/wiki/I4QqwObF1ipLlbkmpLFcNSFNnFb", "辊筒(皮带)左预上料")</f>
        <v>辊筒(皮带)左预上料</v>
      </c>
      <c r="B159">
        <v>6065</v>
      </c>
      <c r="C159" t="inlineStr">
        <is>
          <t>robot_other_roller_left_pre_load_req</t>
        </is>
      </c>
      <c r="D159" t="inlineStr">
        <is>
          <t>辊筒(皮带)左预上料</t>
        </is>
      </c>
      <c r="E159"/>
      <c r="F159" t="inlineStr">
        <is>
          <t>其他API（端口：19210）</t>
        </is>
      </c>
    </row>
    <row r="160" ht="25.5" customHeight="1">
      <c r="A160" s="2" t="str">
        <f>=HYPERLINK("https://seer-group.feishu.cn/wiki/GQcUwebgNiXguHkhqKvczjFFnUh", "辊筒(皮带)左上料")</f>
        <v>辊筒(皮带)左上料</v>
      </c>
      <c r="B160">
        <v>6061</v>
      </c>
      <c r="C160" t="inlineStr">
        <is>
          <t>robot_other_roller_left_load_req</t>
        </is>
      </c>
      <c r="D160" t="inlineStr">
        <is>
          <t>辊筒(皮带)左上料</t>
        </is>
      </c>
      <c r="E160"/>
      <c r="F160" t="inlineStr">
        <is>
          <t>其他API（端口：19210）</t>
        </is>
      </c>
    </row>
    <row r="161" ht="25.5" customHeight="1">
      <c r="A161" s="2" t="str">
        <f>=HYPERLINK("https://seer-group.feishu.cn/wiki/TC00wKRj4ipqNek52hjcTnxQnpQ", "辊筒(皮带)前下料")</f>
        <v>辊筒(皮带)前下料</v>
      </c>
      <c r="B161">
        <v>6056</v>
      </c>
      <c r="C161" t="inlineStr">
        <is>
          <t>robot_other_roller_front_unload_req</t>
        </is>
      </c>
      <c r="D161" t="inlineStr">
        <is>
          <t>辊筒(皮带)前下料</t>
        </is>
      </c>
      <c r="E161"/>
      <c r="F161" t="inlineStr">
        <is>
          <t>其他API（端口：19210）</t>
        </is>
      </c>
    </row>
    <row r="162" ht="25.5" customHeight="1">
      <c r="A162" s="2" t="str">
        <f>=HYPERLINK("https://seer-group.feishu.cn/wiki/L2jxwuMTki5KOBkcFy1cBN2dnXf", "辊筒(皮带)向前滚动")</f>
        <v>辊筒(皮带)向前滚动</v>
      </c>
      <c r="B162">
        <v>6051</v>
      </c>
      <c r="C162" t="inlineStr">
        <is>
          <t>robot_other_roller_front_roll_req</t>
        </is>
      </c>
      <c r="D162" t="inlineStr">
        <is>
          <t>辊筒(皮带)向前滚动</t>
        </is>
      </c>
      <c r="E162"/>
      <c r="F162" t="inlineStr">
        <is>
          <t>其他API（端口：19210）</t>
        </is>
      </c>
    </row>
    <row r="163" ht="25.5" customHeight="1">
      <c r="A163" s="2" t="str">
        <f>=HYPERLINK("https://seer-group.feishu.cn/wiki/IofHwvu91iY93FkiOApcqO3jnBe", "辊筒(皮带)前预上料")</f>
        <v>辊筒(皮带)前预上料</v>
      </c>
      <c r="B163">
        <v>6057</v>
      </c>
      <c r="C163" t="inlineStr">
        <is>
          <t>robot_other_roller_front_pre_load_req</t>
        </is>
      </c>
      <c r="D163" t="inlineStr">
        <is>
          <t>辊筒(皮带)前预上料</t>
        </is>
      </c>
      <c r="E163"/>
      <c r="F163" t="inlineStr">
        <is>
          <t>其他API（端口：19210）</t>
        </is>
      </c>
    </row>
    <row r="164" ht="25.5" customHeight="1">
      <c r="A164" s="2" t="str">
        <f>=HYPERLINK("https://seer-group.feishu.cn/wiki/EfTywvpReixRxSkcKr9cOHDqnee", "辊筒(皮带)前上料")</f>
        <v>辊筒(皮带)前上料</v>
      </c>
      <c r="B164">
        <v>6055</v>
      </c>
      <c r="C164" t="inlineStr">
        <is>
          <t>robot_other_roller_front_load_req</t>
        </is>
      </c>
      <c r="D164" t="inlineStr">
        <is>
          <t>辊筒(皮带)前上料</t>
        </is>
      </c>
      <c r="E164"/>
      <c r="F164" t="inlineStr">
        <is>
          <t>其他API（端口：19210）</t>
        </is>
      </c>
    </row>
    <row r="165" ht="25.5" customHeight="1">
      <c r="A165" s="2" t="str">
        <f>=HYPERLINK("https://seer-group.feishu.cn/wiki/VhTPwMzwOiQfEZkYUlUcSut7nMg", "辊筒(皮带)前后反向")</f>
        <v>辊筒(皮带)前后反向</v>
      </c>
      <c r="B165">
        <v>6069</v>
      </c>
      <c r="C165" t="inlineStr">
        <is>
          <t>robot_other_roller_front_back_inverse_req</t>
        </is>
      </c>
      <c r="D165" t="inlineStr">
        <is>
          <t>辊筒(皮带)前后反向</t>
        </is>
      </c>
      <c r="E165"/>
      <c r="F165" t="inlineStr">
        <is>
          <t>其他API（端口：19210）</t>
        </is>
      </c>
    </row>
    <row r="166" ht="25.5" customHeight="1">
      <c r="A166" s="2" t="str">
        <f>=HYPERLINK("https://seer-group.feishu.cn/wiki/ESqVw4Q5biXvWJknAF3cPB2AnAs", "辊筒(皮带)后下料")</f>
        <v>辊筒(皮带)后下料</v>
      </c>
      <c r="B166">
        <v>6059</v>
      </c>
      <c r="C166" t="inlineStr">
        <is>
          <t>robot_other_roller_back_unload_req</t>
        </is>
      </c>
      <c r="D166" t="inlineStr">
        <is>
          <t>辊筒(皮带)后下料</t>
        </is>
      </c>
      <c r="E166"/>
      <c r="F166" t="inlineStr">
        <is>
          <t>其他API（端口：19210）</t>
        </is>
      </c>
    </row>
    <row r="167" ht="25.5" customHeight="1">
      <c r="A167" s="2" t="str">
        <f>=HYPERLINK("https://seer-group.feishu.cn/wiki/Bt17wRAeiisgook5A1xcNjLWnQg", "辊筒(皮带)向后滚动")</f>
        <v>辊筒(皮带)向后滚动</v>
      </c>
      <c r="B167">
        <v>6052</v>
      </c>
      <c r="C167" t="inlineStr">
        <is>
          <t>robot_other_roller_back_roll_req</t>
        </is>
      </c>
      <c r="D167" t="inlineStr">
        <is>
          <t>辊筒(皮带)向后滚动</t>
        </is>
      </c>
      <c r="E167"/>
      <c r="F167" t="inlineStr">
        <is>
          <t>其他API（端口：19210）</t>
        </is>
      </c>
    </row>
    <row r="168" ht="25.5" customHeight="1">
      <c r="A168" s="2" t="str">
        <f>=HYPERLINK("https://seer-group.feishu.cn/wiki/ALwdwcB0GifduykHjHZc2NJXnqd", "辊筒(皮带)后预上料")</f>
        <v>辊筒(皮带)后预上料</v>
      </c>
      <c r="B168">
        <v>6060</v>
      </c>
      <c r="C168" t="inlineStr">
        <is>
          <t>robot_other_roller_back_pre_load_req</t>
        </is>
      </c>
      <c r="D168" t="inlineStr">
        <is>
          <t>辊筒(皮带)后预上料</t>
        </is>
      </c>
      <c r="E168"/>
      <c r="F168" t="inlineStr">
        <is>
          <t>其他API（端口：19210）</t>
        </is>
      </c>
    </row>
    <row r="169" ht="25.5" customHeight="1">
      <c r="A169" s="2" t="str">
        <f>=HYPERLINK("https://seer-group.feishu.cn/wiki/M8uxwcS4Ri0XOnkivwdcPNB1nZe", "辊筒(皮带)后上料")</f>
        <v>辊筒(皮带)后上料</v>
      </c>
      <c r="B169">
        <v>6058</v>
      </c>
      <c r="C169" t="inlineStr">
        <is>
          <t>robot_other_roller_back_load_req</t>
        </is>
      </c>
      <c r="D169" t="inlineStr">
        <is>
          <t>辊筒(皮带)后上料</t>
        </is>
      </c>
      <c r="E169"/>
      <c r="F169" t="inlineStr">
        <is>
          <t>其他API（端口：19210）</t>
        </is>
      </c>
    </row>
    <row r="170" ht="25.5" customHeight="1">
      <c r="A170" s="2" t="str">
        <f>=HYPERLINK("https://seer-group.feishu.cn/wiki/WKS5w0u8Tiaj1xkcUdZcT4bRn3e", "继续播放音频")</f>
        <v>继续播放音频</v>
      </c>
      <c r="B170">
        <v>6011</v>
      </c>
      <c r="C170" t="inlineStr">
        <is>
          <t>robot_other_resume_audio_req</t>
        </is>
      </c>
      <c r="D170" t="inlineStr">
        <is>
          <t>继续播放音频</t>
        </is>
      </c>
      <c r="E170"/>
      <c r="F170" t="inlineStr">
        <is>
          <t>其他API（端口：19210）</t>
        </is>
      </c>
    </row>
    <row r="171" ht="25.5" customHeight="1">
      <c r="A171" s="2" t="str">
        <f>=HYPERLINK("https://seer-group.feishu.cn/wiki/B92dwaCcRiz2sPkmEkrcjA3JnZc", "清除载货状态")</f>
        <v>清除载货状态</v>
      </c>
      <c r="B171">
        <v>6080</v>
      </c>
      <c r="C171" t="inlineStr">
        <is>
          <t>robot_other_reset_cargo_req</t>
        </is>
      </c>
      <c r="D171" t="inlineStr">
        <is>
          <t>清除载货状态</t>
        </is>
      </c>
      <c r="E171"/>
      <c r="F171" t="inlineStr">
        <is>
          <t>其他API（端口：19210）</t>
        </is>
      </c>
    </row>
    <row r="172" ht="25.5" customHeight="1">
      <c r="A172" s="2" t="str">
        <f>=HYPERLINK("https://seer-group.feishu.cn/wiki/ZTXDwxum8iHosbk9WY2cI5zXnQg", "播放音频")</f>
        <v>播放音频</v>
      </c>
      <c r="B172">
        <v>6000</v>
      </c>
      <c r="C172" t="inlineStr">
        <is>
          <t>robot_other_play_audio_req</t>
        </is>
      </c>
      <c r="D172" t="inlineStr">
        <is>
          <t>播放音频, 播放指定的音频文件</t>
        </is>
      </c>
      <c r="E172"/>
      <c r="F172" t="inlineStr">
        <is>
          <t>其他API（端口：19210）</t>
        </is>
      </c>
    </row>
    <row r="173" ht="25.5" customHeight="1">
      <c r="A173" s="2" t="str">
        <f>=HYPERLINK("https://seer-group.feishu.cn/wiki/UWewwxiPtiNZhAkvZhJctxXFn1d", "暂停播放音频")</f>
        <v>暂停播放音频</v>
      </c>
      <c r="B173">
        <v>6010</v>
      </c>
      <c r="C173" t="inlineStr">
        <is>
          <t>robot_other_pause_audio_req</t>
        </is>
      </c>
      <c r="D173" t="inlineStr">
        <is>
          <t>暂停播放音频</t>
        </is>
      </c>
      <c r="E173"/>
      <c r="F173" t="inlineStr">
        <is>
          <t>其他API（端口：19210）</t>
        </is>
      </c>
    </row>
    <row r="174" ht="25.5" customHeight="1">
      <c r="A174" s="2" t="str">
        <f>=HYPERLINK("https://seer-group.feishu.cn/wiki/DlRpwwKzEisellkqZlwch0fPnDh", "顶升机构下降")</f>
        <v>顶升机构下降</v>
      </c>
      <c r="B174">
        <v>6071</v>
      </c>
      <c r="C174" t="inlineStr">
        <is>
          <t>robot_other_jack_unload_req</t>
        </is>
      </c>
      <c r="D174" t="inlineStr">
        <is>
          <t>顶升机构下降</t>
        </is>
      </c>
      <c r="E174"/>
      <c r="F174" t="inlineStr">
        <is>
          <t>其他API（端口：19210）</t>
        </is>
      </c>
    </row>
    <row r="175" ht="25.5" customHeight="1">
      <c r="A175" s="2" t="str">
        <f>=HYPERLINK("https://seer-group.feishu.cn/wiki/XrPgw64K8iWgqOk7ZKDcT5pLnfd", "顶升机构停止")</f>
        <v>顶升机构停止</v>
      </c>
      <c r="B175">
        <v>6072</v>
      </c>
      <c r="C175" t="inlineStr">
        <is>
          <t>robot_other_jack_stop_req</t>
        </is>
      </c>
      <c r="D175" t="inlineStr">
        <is>
          <t>顶升机构停止</t>
        </is>
      </c>
      <c r="E175"/>
      <c r="F175" t="inlineStr">
        <is>
          <t>其他API（端口：19210）</t>
        </is>
      </c>
    </row>
    <row r="176" ht="25.5" customHeight="1">
      <c r="A176" s="2" t="str">
        <f>=HYPERLINK("https://seer-group.feishu.cn/wiki/HtCrwyn6riPcfhkFkWUcaW9wn5d", "顶升定高")</f>
        <v>顶升定高</v>
      </c>
      <c r="B176">
        <v>6073</v>
      </c>
      <c r="C176" t="inlineStr">
        <is>
          <t>robot_other_jack_set_height_req</t>
        </is>
      </c>
      <c r="D176" t="inlineStr">
        <is>
          <t>顶升调整至固定高度</t>
        </is>
      </c>
      <c r="E176"/>
      <c r="F176" t="inlineStr">
        <is>
          <t>其他API（端口：19210）</t>
        </is>
      </c>
    </row>
    <row r="177" ht="25.5" customHeight="1">
      <c r="A177" s="2" t="str">
        <f>=HYPERLINK("https://seer-group.feishu.cn/wiki/LEBRwSuX7iNfEjkgSWOcR3c7nDg", "顶升机构上升")</f>
        <v>顶升机构上升</v>
      </c>
      <c r="B177">
        <v>6070</v>
      </c>
      <c r="C177" t="inlineStr">
        <is>
          <t>robot_other_jack_load_req</t>
        </is>
      </c>
      <c r="D177" t="inlineStr">
        <is>
          <t>顶升机构上升</t>
        </is>
      </c>
      <c r="E177"/>
      <c r="F177" t="inlineStr">
        <is>
          <t>其他API（端口：19210）</t>
        </is>
      </c>
    </row>
    <row r="178" ht="25.5" customHeight="1">
      <c r="A178" s="2" t="str">
        <f>=HYPERLINK("https://seer-group.feishu.cn/wiki/NBwLwYF36iYlZUkWUNicBh9Qnbe", "牵引下料")</f>
        <v>牵引下料</v>
      </c>
      <c r="B178">
        <v>6083</v>
      </c>
      <c r="C178" t="inlineStr">
        <is>
          <t>robot_other_hook_unload_req</t>
        </is>
      </c>
      <c r="D178" t="inlineStr">
        <is>
          <t>牵引下料</t>
        </is>
      </c>
      <c r="E178"/>
      <c r="F178" t="inlineStr">
        <is>
          <t>其他API（端口：19210）</t>
        </is>
      </c>
    </row>
    <row r="179" ht="25.5" customHeight="1">
      <c r="A179" s="2" t="str">
        <f>=HYPERLINK("https://seer-group.feishu.cn/wiki/FJ1IwHPCjiP89pkx8PecJcm7nhg", "牵引上料")</f>
        <v>牵引上料</v>
      </c>
      <c r="B179">
        <v>6082</v>
      </c>
      <c r="C179" t="inlineStr">
        <is>
          <t>robot_other_hook_load_req</t>
        </is>
      </c>
      <c r="D179" t="inlineStr">
        <is>
          <t>牵引上料</t>
        </is>
      </c>
      <c r="E179"/>
      <c r="F179" t="inlineStr">
        <is>
          <t>其他API（端口：19210）</t>
        </is>
      </c>
    </row>
    <row r="180" ht="25.5" customHeight="1">
      <c r="A180" s="2" t="str">
        <f>=HYPERLINK("https://seer-group.feishu.cn/wiki/N3MpwPSeJiDGf9kQJ8ZckKoJnGf", "开始标定")</f>
        <v>开始标定</v>
      </c>
      <c r="B180">
        <v>6110</v>
      </c>
      <c r="C180" t="inlineStr">
        <is>
          <t>ROBOT_OTHER_CALIBRATE_REQ</t>
        </is>
      </c>
      <c r="D180" t="inlineStr">
        <is>
          <t>开始标定</t>
        </is>
      </c>
      <c r="E180"/>
      <c r="F180" t="inlineStr">
        <is>
          <t>其他API（端口：19210）</t>
        </is>
      </c>
    </row>
    <row r="181" ht="25.5" customHeight="1">
      <c r="A181" s="2" t="str">
        <f>=HYPERLINK("https://seer-group.feishu.cn/wiki/OS1fwhGWZiH0MQkoR5rcCBjbnsf", "取消标定")</f>
        <v>取消标定</v>
      </c>
      <c r="B181">
        <v>6111</v>
      </c>
      <c r="C181" t="inlineStr">
        <is>
          <t>ROBOT_OTHER_ENDCALIBRATE_REQ</t>
        </is>
      </c>
      <c r="D181" t="inlineStr">
        <is>
          <t>取消标定</t>
        </is>
      </c>
      <c r="E181"/>
      <c r="F181" t="inlineStr">
        <is>
          <t>其他API（端口：19210）</t>
        </is>
      </c>
    </row>
    <row r="182" ht="25.5" customHeight="1">
      <c r="A182" s="2" t="str">
        <f>=HYPERLINK("https://seer-group.feishu.cn/wiki/YGRcwWEw9iDxxHkDpRiclRMnn7c", "获取当前标定结果")</f>
        <v>获取当前标定结果</v>
      </c>
      <c r="B182">
        <v>6112</v>
      </c>
      <c r="C182" t="inlineStr">
        <is>
          <t>ROBOT_OTHER_CALIB_RESULT_REQ</t>
        </is>
      </c>
      <c r="D182" t="inlineStr">
        <is>
          <t>获取当前标定结果</t>
        </is>
      </c>
      <c r="E182"/>
      <c r="F182" t="inlineStr">
        <is>
          <t>其他API（端口：19210）</t>
        </is>
      </c>
    </row>
    <row r="183" ht="25.5" customHeight="1">
      <c r="A183" s="2" t="str">
        <f>=HYPERLINK("https://seer-group.feishu.cn/wiki/ZGiAwhbqoiyiD5keM2wcT1bZnyf", "标定过程可视化")</f>
        <v>标定过程可视化</v>
      </c>
      <c r="B183">
        <v>6115</v>
      </c>
      <c r="C183" t="inlineStr">
        <is>
          <t>robot_other_calib_allinone2_req</t>
        </is>
      </c>
      <c r="D183" t="inlineStr">
        <is>
          <t>标定过程可视化</t>
        </is>
      </c>
      <c r="E183"/>
      <c r="F183" t="inlineStr">
        <is>
          <t>其他API（端口：19210）</t>
        </is>
      </c>
    </row>
    <row r="184" ht="25.5" customHeight="1">
      <c r="A184" s="2" t="str">
        <f>=HYPERLINK("https://seer-group.feishu.cn/wiki/AthFwgSeYir317kxC8Ic8SUxn7b", "开始扫描地图")</f>
        <v>开始扫描地图</v>
      </c>
      <c r="B184">
        <v>6100</v>
      </c>
      <c r="C184" t="inlineStr">
        <is>
          <t>robot_other_slam_req</t>
        </is>
      </c>
      <c r="D184" t="inlineStr">
        <is>
          <t>开始扫描地图</t>
        </is>
      </c>
      <c r="E184" t="inlineStr">
        <is>
          <t>地图</t>
        </is>
      </c>
      <c r="F184" t="inlineStr">
        <is>
          <t>其他API（端口：19210）</t>
        </is>
      </c>
    </row>
    <row r="185" ht="25.5" customHeight="1">
      <c r="A185" s="2" t="str">
        <f>=HYPERLINK("https://seer-group.feishu.cn/wiki/AsNxw3B4PibuT3kc9BgcP5HVnSg", "停止扫描地图")</f>
        <v>停止扫描地图</v>
      </c>
      <c r="B185">
        <v>6101</v>
      </c>
      <c r="C185" t="inlineStr">
        <is>
          <t>robot_other_endslam_req</t>
        </is>
      </c>
      <c r="D185" t="inlineStr">
        <is>
          <t>停止扫描地图</t>
        </is>
      </c>
      <c r="E185" t="inlineStr">
        <is>
          <t>地图</t>
        </is>
      </c>
      <c r="F185" t="inlineStr">
        <is>
          <t>其他API（端口：19210）</t>
        </is>
      </c>
    </row>
    <row r="186" ht="25.5" customHeight="1">
      <c r="A186" s="2" t="str">
        <f>=HYPERLINK("https://seer-group.feishu.cn/wiki/Eo5wwuZMQiJVOektzDScFAxNnqe", "绑定货物到料箱")</f>
        <v>绑定货物到料箱</v>
      </c>
      <c r="B186">
        <v>6804</v>
      </c>
      <c r="C186" t="inlineStr">
        <is>
          <t>robot_other_set_container_goods_req</t>
        </is>
      </c>
      <c r="D186" t="inlineStr">
        <is>
          <t>绑定货物到料箱</t>
        </is>
      </c>
      <c r="E186"/>
      <c r="F186" t="inlineStr">
        <is>
          <t>其他API（端口：19210）</t>
        </is>
      </c>
    </row>
    <row r="187" ht="25.5" customHeight="1">
      <c r="A187" s="2" t="str">
        <f>=HYPERLINK("https://seer-group.feishu.cn/wiki/G4b9wL1ALirG65kdIomcUzXnnah", "解绑指定货物")</f>
        <v>解绑指定货物</v>
      </c>
      <c r="B187">
        <v>6801</v>
      </c>
      <c r="C187" t="inlineStr">
        <is>
          <t>robot_other_clear_goods_req</t>
        </is>
      </c>
      <c r="D187" t="inlineStr">
        <is>
          <t>解绑指定货物</t>
        </is>
      </c>
      <c r="E187"/>
      <c r="F187" t="inlineStr">
        <is>
          <t>其他API（端口：19210）</t>
        </is>
      </c>
    </row>
    <row r="188" ht="25.5" customHeight="1">
      <c r="A188" s="2" t="str">
        <f>=HYPERLINK("https://seer-group.feishu.cn/wiki/FC7swWwwaiUNSykNoZUc1kqJnMe", "从指定料箱解绑货物")</f>
        <v>从指定料箱解绑货物</v>
      </c>
      <c r="B188">
        <v>6802</v>
      </c>
      <c r="C188" t="inlineStr">
        <is>
          <t>robot_other_clear_container_req</t>
        </is>
      </c>
      <c r="D188" t="inlineStr">
        <is>
          <t>从指定料箱解绑货物</t>
        </is>
      </c>
      <c r="E188"/>
      <c r="F188" t="inlineStr">
        <is>
          <t>其他API（端口：19210）</t>
        </is>
      </c>
    </row>
    <row r="189" ht="25.5" customHeight="1">
      <c r="A189" s="2" t="str">
        <f>=HYPERLINK("https://seer-group.feishu.cn/wiki/MPfvwpE4lihsOVkZZ7RcDSupnHd", "从所有料箱解绑货物")</f>
        <v>从所有料箱解绑货物</v>
      </c>
      <c r="B189">
        <v>6803</v>
      </c>
      <c r="C189" t="inlineStr">
        <is>
          <t>robot_other_clear_all_containers_goods_req</t>
        </is>
      </c>
      <c r="D189" t="inlineStr">
        <is>
          <t>从所有料箱解绑货物</t>
        </is>
      </c>
      <c r="E189"/>
      <c r="F189" t="inlineStr">
        <is>
          <t>其他API（端口：19210）</t>
        </is>
      </c>
    </row>
    <row r="190" ht="25.5" customHeight="1">
      <c r="A190" s="2" t="str">
        <f>=HYPERLINK("https://seer-group.feishu.cn/wiki/WhDkwBDFMiYqfKkkZqpciNWXnZc", "获取音频文件列表")</f>
        <v>获取音频文件列表</v>
      </c>
      <c r="B190">
        <v>6033</v>
      </c>
      <c r="C190" t="inlineStr">
        <is>
          <t>robot_other_audio_list_req</t>
        </is>
      </c>
      <c r="D190" t="inlineStr">
        <is>
          <t>获取音频文件列表</t>
        </is>
      </c>
      <c r="E190"/>
      <c r="F190" t="inlineStr">
        <is>
          <t>其他API（端口：19210）</t>
        </is>
      </c>
    </row>
    <row r="191" ht="25.5" customHeight="1">
      <c r="A191" s="2" t="str">
        <f>=HYPERLINK("https://seer-group.feishu.cn/wiki/EhPAwCd7MiLxV5kjGZTcB3XQn6b", "Replay")</f>
        <v>Replay</v>
      </c>
      <c r="B191">
        <v>6910</v>
      </c>
      <c r="C191" t="inlineStr">
        <is>
          <t>robot_other_replay_req</t>
        </is>
      </c>
      <c r="D191" t="inlineStr">
        <is>
          <t>Replay插件API</t>
        </is>
      </c>
      <c r="E191"/>
      <c r="F191" t="inlineStr">
        <is>
          <t>其他API（端口：19210）</t>
        </is>
      </c>
    </row>
    <row r="192" ht="25.5" customHeight="1">
      <c r="A192" s="2" t="str">
        <f>=HYPERLINK("https://seer-group.feishu.cn/wiki/JuNMwJYnOiqxcokLzvUc2b0ynog", "机器人推送API（端口：19301）")</f>
        <v>机器人推送API（端口：19301）</v>
      </c>
      <c r="B192"/>
      <c r="C192"/>
      <c r="D192"/>
      <c r="E192"/>
      <c r="F192"/>
    </row>
    <row r="193" ht="25.5" customHeight="1">
      <c r="A193" s="2" t="str">
        <f>=HYPERLINK("https://seer-group.feishu.cn/wiki/BMrZwVbj2iACUSkmDXHclezznXR", "机器人推送")</f>
        <v>机器人推送</v>
      </c>
      <c r="B193"/>
      <c r="C193" t="inlineStr">
        <is>
          <t>robot_push</t>
        </is>
      </c>
      <c r="D193" t="inlineStr">
        <is>
          <t>机器人数据推送</t>
        </is>
      </c>
      <c r="E193"/>
      <c r="F193" t="inlineStr">
        <is>
          <t>机器人推送API（端口：19301）</t>
        </is>
      </c>
    </row>
    <row r="194" ht="25.5" customHeight="1">
      <c r="A194" s="2" t="str">
        <f>=HYPERLINK("https://seer-group.feishu.cn/wiki/MfmhwKKVNiDJkZkqhh3cfyTBn3b", "配置机器人推送端口")</f>
        <v>配置机器人推送端口</v>
      </c>
      <c r="B194">
        <v>9300</v>
      </c>
      <c r="C194" t="inlineStr">
        <is>
          <t>robot_push_config_req</t>
        </is>
      </c>
      <c r="D194" t="inlineStr">
        <is>
          <t>配置推送端口 19301</t>
        </is>
      </c>
      <c r="E194"/>
      <c r="F194" t="inlineStr">
        <is>
          <t>机器人推送API（端口：19301）</t>
        </is>
      </c>
    </row>
    <row r="195" ht="25.5" customHeight="1">
      <c r="A195" s="2"/>
      <c r="B195"/>
      <c r="C195"/>
      <c r="D195"/>
      <c r="E195" t="inlineStr">
        <is>
          <t>脚本</t>
        </is>
      </c>
      <c r="F195"/>
    </row>
  </sheetData>
  <dataValidations count="1">
    <dataValidation allowBlank="false" sqref="E2:E194" type="list">
      <formula1>"地图,脚本"</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